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b784cb003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BTMA_exchange" sheetId="1" r:id="Rcab0b08540fa4764"/>
    <x:sheet xmlns:r="http://schemas.openxmlformats.org/officeDocument/2006/relationships" name="S2_DVB_BTMA_exchange" sheetId="2" r:id="R37b1efcf6f004114"/>
    <x:sheet xmlns:r="http://schemas.openxmlformats.org/officeDocument/2006/relationships" name="S3_EDA_components" sheetId="3" r:id="R3e6b198f8548422f"/>
    <x:sheet xmlns:r="http://schemas.openxmlformats.org/officeDocument/2006/relationships" name="S4_PFOA_PES" sheetId="4" r:id="Reb9cfa5e4910460f"/>
    <x:sheet xmlns:r="http://schemas.openxmlformats.org/officeDocument/2006/relationships" name="S5_pVBTMA12_model_system" sheetId="5" r:id="Rbed43b79e6af4530"/>
    <x:sheet xmlns:r="http://schemas.openxmlformats.org/officeDocument/2006/relationships" name="S6_MD_protocol" sheetId="6" r:id="R08c8a75d2d434106"/>
    <x:sheet xmlns:r="http://schemas.openxmlformats.org/officeDocument/2006/relationships" name="S7_replica_summary" sheetId="7" r:id="Rbd64bce5de1b441a"/>
    <x:sheet xmlns:r="http://schemas.openxmlformats.org/officeDocument/2006/relationships" name="S8_block_summary" sheetId="8" r:id="R582186d1d6dd447b"/>
    <x:sheet xmlns:r="http://schemas.openxmlformats.org/officeDocument/2006/relationships" name="S9_convergence_diagnostics" sheetId="9" r:id="Ree4afd2cb41b4399"/>
    <x:sheet xmlns:r="http://schemas.openxmlformats.org/officeDocument/2006/relationships" name="S10_contact_occupancy" sheetId="10" r:id="R6ce4213199f140b8"/>
    <x:sheet xmlns:r="http://schemas.openxmlformats.org/officeDocument/2006/relationships" name="S11_GOAT_sensitivity" sheetId="11" r:id="R7772a62c45c1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"/>
    <x:numFmt numFmtId="201" formatCode="0.0000"/>
    <x:numFmt numFmtId="202" formatCode="0"/>
  </x:numFmts>
  <x:fonts count="10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0"/>
      <x:name val="Carlito"/>
    </x:font>
    <x:font>
      <x:sz val="10"/>
      <x:color rgb="FF000000"/>
      <x:name val="Carlito"/>
    </x:font>
    <x:font>
      <x:b/>
      <x:sz val="11"/>
      <x:name val="Carlito"/>
    </x:font>
    <x:font>
      <x:b/>
      <x:sz val="12"/>
      <x:name val="Carlito"/>
    </x:font>
    <x:font>
      <x:b/>
      <x:sz val="12"/>
      <x:name val="Calibri"/>
    </x:font>
    <x:font>
      <x:b/>
      <x:sz val="11"/>
      <x:name val="Calibri"/>
    </x:font>
    <x:font>
      <x:sz val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0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2" borderId="5" xfId="0" applyNumberFormat="1" applyFont="1" applyFill="1" applyBorder="1" applyAlignment="1">
      <x:alignment vertical="center"/>
    </x:xf>
    <x:xf numFmtId="200" fontId="1" fillId="2" borderId="8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vertical="center"/>
    </x:xf>
    <x:xf numFmtId="201" fontId="1" fillId="2" borderId="6" xfId="0" applyNumberFormat="1" applyFont="1" applyFill="1" applyBorder="1" applyAlignment="1">
      <x:alignment vertical="center"/>
    </x:xf>
    <x:xf numFmtId="201" fontId="1" fillId="2" borderId="8" xfId="0" applyNumberFormat="1" applyFont="1" applyFill="1" applyBorder="1" applyAlignment="1">
      <x:alignment vertical="center"/>
    </x:xf>
    <x:xf numFmtId="201" fontId="1" fillId="2" borderId="9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1805c2df84f98" /><Relationship Type="http://schemas.openxmlformats.org/officeDocument/2006/relationships/theme" Target="/xl/theme/theme1.xml" Id="Rf8a74e0565714cda" /><Relationship Type="http://schemas.microsoft.com/office/2022/11/relationships/FeaturePropertyBag" Target="/xl/featurePropertyBag/featurePropertyBag.xml" Id="Rd5105c04da604beb" /><Relationship Type="http://schemas.openxmlformats.org/officeDocument/2006/relationships/sharedStrings" Target="/xl/sharedStrings.xml" Id="Rf3d7cdc00a764f82" /><Relationship Type="http://schemas.openxmlformats.org/officeDocument/2006/relationships/worksheet" Target="/xl/worksheets/sheet1.xml" Id="Rcab0b08540fa4764" /><Relationship Type="http://schemas.openxmlformats.org/officeDocument/2006/relationships/worksheet" Target="/xl/worksheets/sheet2.xml" Id="R37b1efcf6f004114" /><Relationship Type="http://schemas.openxmlformats.org/officeDocument/2006/relationships/worksheet" Target="/xl/worksheets/sheet3.xml" Id="R3e6b198f8548422f" /><Relationship Type="http://schemas.openxmlformats.org/officeDocument/2006/relationships/worksheet" Target="/xl/worksheets/sheet4.xml" Id="Reb9cfa5e4910460f" /><Relationship Type="http://schemas.openxmlformats.org/officeDocument/2006/relationships/worksheet" Target="/xl/worksheets/sheet5.xml" Id="Rbed43b79e6af4530" /><Relationship Type="http://schemas.openxmlformats.org/officeDocument/2006/relationships/worksheet" Target="/xl/worksheets/sheet6.xml" Id="R08c8a75d2d434106" /><Relationship Type="http://schemas.openxmlformats.org/officeDocument/2006/relationships/worksheet" Target="/xl/worksheets/sheet7.xml" Id="Rbd64bce5de1b441a" /><Relationship Type="http://schemas.openxmlformats.org/officeDocument/2006/relationships/worksheet" Target="/xl/worksheets/sheet8.xml" Id="R582186d1d6dd447b" /><Relationship Type="http://schemas.openxmlformats.org/officeDocument/2006/relationships/worksheet" Target="/xl/worksheets/sheet9.xml" Id="Ree4afd2cb41b4399" /><Relationship Type="http://schemas.openxmlformats.org/officeDocument/2006/relationships/worksheet" Target="/xl/worksheets/sheet10.xml" Id="R6ce4213199f140b8" /><Relationship Type="http://schemas.openxmlformats.org/officeDocument/2006/relationships/worksheet" Target="/xl/worksheets/sheet11.xml" Id="R7772a62c45c14b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45.66999816894531" hidden="0" customWidth="1"/>
    <x:col min="2" max="2" width="7.44000005722045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15" hidden="0" customHeight="1">
      <x:c r="A1" s="21" t="str">
        <x:v>Table S1. BTMA exchange energetics and source energies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3"/>
    </x:row>
    <x:row r="2" ht="64" hidden="0" customHeight="1">
      <x:c r="A2" s="38" t="str">
        <x:v>functional</x:v>
      </x:c>
      <x:c r="B2" s="39" t="str">
        <x:v>PFAS</x:v>
      </x:c>
      <x:c r="C2" s="39" t="str">
        <x:v>BTMA⁺P⁻ electronic Eh</x:v>
      </x:c>
      <x:c r="D2" s="39" t="str">
        <x:v>BTMA⁺Cl⁻ electronic Eh</x:v>
      </x:c>
      <x:c r="E2" s="39" t="str">
        <x:v>P⁻ electronic Eh</x:v>
      </x:c>
      <x:c r="F2" s="39" t="str">
        <x:v>Cl⁻ electronic Eh</x:v>
      </x:c>
      <x:c r="G2" s="39" t="str">
        <x:v>BTMA⁺P⁻ gibbs Eh</x:v>
      </x:c>
      <x:c r="H2" s="39" t="str">
        <x:v>BTMA⁺Cl⁻ gibbs Eh</x:v>
      </x:c>
      <x:c r="I2" s="39" t="str">
        <x:v>P⁻ gibbs Eh</x:v>
      </x:c>
      <x:c r="J2" s="39" t="str">
        <x:v>Cl⁻ gibbs Eh</x:v>
      </x:c>
      <x:c r="K2" s="39" t="str">
        <x:v>DeltaE exchange Eh</x:v>
      </x:c>
      <x:c r="L2" s="39" t="str">
        <x:v>DeltaG exchange Eh</x:v>
      </x:c>
      <x:c r="M2" s="39" t="str">
        <x:v>DeltaE exchange kcal mol</x:v>
      </x:c>
      <x:c r="N2" s="40" t="str">
        <x:v>DeltaG exchange kcal mol</x:v>
      </x:c>
    </x:row>
    <x:row r="3" ht="15" hidden="0" customHeight="1">
      <x:c r="A3" s="15" t="str">
        <x:v>r²SCAN-3c</x:v>
      </x:c>
      <x:c r="B3" s="16" t="str">
        <x:v>6:2 FTCA</x:v>
      </x:c>
      <x:c r="C3" s="59" t="n">
        <x:v>-2199.764389580309</x:v>
      </x:c>
      <x:c r="D3" s="59" t="n">
        <x:v>-905.517886846123</x:v>
      </x:c>
      <x:c r="E3" s="59" t="n">
        <x:v>-1754.590197254154</x:v>
      </x:c>
      <x:c r="F3" s="59" t="n">
        <x:v>-460.345405067028</x:v>
      </x:c>
      <x:c r="G3" s="59" t="n">
        <x:v>-2199.47078192</x:v>
      </x:c>
      <x:c r="H3" s="59" t="n">
        <x:v>-905.31500817</x:v>
      </x:c>
      <x:c r="I3" s="59" t="n">
        <x:v>-1754.52647219</x:v>
      </x:c>
      <x:c r="J3" s="59" t="n">
        <x:v>-460.36114952</x:v>
      </x:c>
      <x:c r="K3" s="59" t="n">
        <x:f>C3+F3-D3-E3</x:f>
        <x:v>-0.001710547059929013</x:v>
      </x:c>
      <x:c r="L3" s="59" t="n">
        <x:f>G3+J3-H3-I3</x:f>
        <x:v>0.009548920000497674</x:v>
      </x:c>
      <x:c r="M3" s="61" t="n">
        <x:f>K3*627.509474</x:f>
        <x:v>-1.0733844858283013</x:v>
      </x:c>
      <x:c r="N3" s="62" t="n">
        <x:f>L3*627.509474</x:f>
        <x:v>5.992037766780374</x:v>
      </x:c>
    </x:row>
    <x:row r="4" ht="15" hidden="0" customHeight="1">
      <x:c r="A4" s="15" t="str">
        <x:v>ωB97X-D3</x:v>
      </x:c>
      <x:c r="B4" s="16" t="str">
        <x:v>6:2 FTCA</x:v>
      </x:c>
      <x:c r="C4" s="59" t="n">
        <x:v>-2200.289787524607</x:v>
      </x:c>
      <x:c r="D4" s="59" t="n">
        <x:v>-905.73115143515</x:v>
      </x:c>
      <x:c r="E4" s="59" t="n">
        <x:v>-1754.938877499405</x:v>
      </x:c>
      <x:c r="F4" s="59" t="n">
        <x:v>-460.385228974217</x:v>
      </x:c>
      <x:c r="G4" s="59" t="n">
        <x:v>-2199.99167612</x:v>
      </x:c>
      <x:c r="H4" s="59" t="n">
        <x:v>-905.52436385</x:v>
      </x:c>
      <x:c r="I4" s="59" t="n">
        <x:v>-1754.87158616</x:v>
      </x:c>
      <x:c r="J4" s="59" t="n">
        <x:v>-460.40097343</x:v>
      </x:c>
      <x:c r="K4" s="59" t="n">
        <x:f>C4+F4-D4-E4</x:f>
        <x:v>-0.004987564269413269</x:v>
      </x:c>
      <x:c r="L4" s="59" t="n">
        <x:f>G4+J4-H4-I4</x:f>
        <x:v>0.0033004600002186635</x:v>
      </x:c>
      <x:c r="M4" s="61" t="n">
        <x:f>K4*627.509474</x:f>
        <x:v>-3.129743831240715</x:v>
      </x:c>
      <x:c r="N4" s="62" t="n">
        <x:f>L4*627.509474</x:f>
        <x:v>2.0710699186952533</x:v>
      </x:c>
    </x:row>
    <x:row r="5" ht="15" hidden="0" customHeight="1">
      <x:c r="A5" s="15" t="str">
        <x:v>r²SCAN-3c</x:v>
      </x:c>
      <x:c r="B5" s="16" t="str">
        <x:v>PFHxA</x:v>
      </x:c>
      <x:c r="C5" s="59" t="n">
        <x:v>-1922.676121647777</x:v>
      </x:c>
      <x:c r="D5" s="59" t="n">
        <x:v>-905.517886846123</x:v>
      </x:c>
      <x:c r="E5" s="59" t="n">
        <x:v>-1477.499356306281</x:v>
      </x:c>
      <x:c r="F5" s="59" t="n">
        <x:v>-460.345405067028</x:v>
      </x:c>
      <x:c r="G5" s="59" t="n">
        <x:v>-1922.41786628</x:v>
      </x:c>
      <x:c r="H5" s="59" t="n">
        <x:v>-905.31500817</x:v>
      </x:c>
      <x:c r="I5" s="59" t="n">
        <x:v>-1477.47120355</x:v>
      </x:c>
      <x:c r="J5" s="59" t="n">
        <x:v>-460.36114952</x:v>
      </x:c>
      <x:c r="K5" s="59" t="n">
        <x:f>C5+F5-D5-E5</x:f>
        <x:v>-0.004283562401042218</x:v>
      </x:c>
      <x:c r="L5" s="59" t="n">
        <x:f>G5+J5-H5-I5</x:f>
        <x:v>0.007195920000185652</x:v>
      </x:c>
      <x:c r="M5" s="61" t="n">
        <x:f>K5*627.509474</x:f>
        <x:v>-2.6879759891241792</x:v>
      </x:c>
      <x:c r="N5" s="62" t="n">
        <x:f>L5*627.509474</x:f>
        <x:v>4.515507974262578</x:v>
      </x:c>
    </x:row>
    <x:row r="6" ht="15" hidden="0" customHeight="1">
      <x:c r="A6" s="15" t="str">
        <x:v>ωB97X-D3</x:v>
      </x:c>
      <x:c r="B6" s="16" t="str">
        <x:v>PFHxA</x:v>
      </x:c>
      <x:c r="C6" s="59" t="n">
        <x:v>-1923.137309076471</x:v>
      </x:c>
      <x:c r="D6" s="59" t="n">
        <x:v>-905.73115143515</x:v>
      </x:c>
      <x:c r="E6" s="59" t="n">
        <x:v>-1477.788129952896</x:v>
      </x:c>
      <x:c r="F6" s="59" t="n">
        <x:v>-460.385228974217</x:v>
      </x:c>
      <x:c r="G6" s="59" t="n">
        <x:v>-1922.87422607</x:v>
      </x:c>
      <x:c r="H6" s="59" t="n">
        <x:v>-905.52436385</x:v>
      </x:c>
      <x:c r="I6" s="59" t="n">
        <x:v>-1477.75805868</x:v>
      </x:c>
      <x:c r="J6" s="59" t="n">
        <x:v>-460.40097343</x:v>
      </x:c>
      <x:c r="K6" s="59" t="n">
        <x:f>C6+F6-D6-E6</x:f>
        <x:v>-0.0032566626421157707</x:v>
      </x:c>
      <x:c r="L6" s="59" t="n">
        <x:f>G6+J6-H6-I6</x:f>
        <x:v>0.007223030000204744</x:v>
      </x:c>
      <x:c r="M6" s="61" t="n">
        <x:f>K6*627.509474</x:f>
        <x:v>-2.0435866615495173</x:v>
      </x:c>
      <x:c r="N6" s="62" t="n">
        <x:f>L6*627.509474</x:f>
        <x:v>4.532519756114699</x:v>
      </x:c>
    </x:row>
    <x:row r="7" ht="15" hidden="0" customHeight="1">
      <x:c r="A7" s="15" t="str">
        <x:v>r²SCAN-3c</x:v>
      </x:c>
      <x:c r="B7" s="16" t="str">
        <x:v>PFOA</x:v>
      </x:c>
      <x:c r="C7" s="59" t="n">
        <x:v>-2398.242098977966</x:v>
      </x:c>
      <x:c r="D7" s="59" t="n">
        <x:v>-905.517886846123</x:v>
      </x:c>
      <x:c r="E7" s="59" t="n">
        <x:v>-1953.067972855685</x:v>
      </x:c>
      <x:c r="F7" s="59" t="n">
        <x:v>-460.345405067028</x:v>
      </x:c>
      <x:c r="G7" s="59" t="n">
        <x:v>-2397.96515453</x:v>
      </x:c>
      <x:c r="H7" s="59" t="n">
        <x:v>-905.31500817</x:v>
      </x:c>
      <x:c r="I7" s="59" t="n">
        <x:v>-1953.02302217</x:v>
      </x:c>
      <x:c r="J7" s="59" t="n">
        <x:v>-460.36114952</x:v>
      </x:c>
      <x:c r="K7" s="59" t="n">
        <x:f>C7+F7-D7-E7</x:f>
        <x:v>-0.0016443431861716817</x:v>
      </x:c>
      <x:c r="L7" s="59" t="n">
        <x:f>G7+J7-H7-I7</x:f>
        <x:v>0.011726290000524386</x:v>
      </x:c>
      <x:c r="M7" s="61" t="n">
        <x:f>K7*627.509474</x:f>
        <x:v>-1.031840927830076</x:v>
      </x:c>
      <x:c r="N7" s="62" t="n">
        <x:f>L7*627.509474</x:f>
        <x:v>7.358358070200517</x:v>
      </x:c>
    </x:row>
    <x:row r="8" ht="15" hidden="0" customHeight="1">
      <x:c r="A8" s="15" t="str">
        <x:v>ωB97X-D3</x:v>
      </x:c>
      <x:c r="B8" s="16" t="str">
        <x:v>PFOA</x:v>
      </x:c>
      <x:c r="C8" s="59" t="n">
        <x:v>-2398.793370784731</x:v>
      </x:c>
      <x:c r="D8" s="59" t="n">
        <x:v>-905.73115143515</x:v>
      </x:c>
      <x:c r="E8" s="59" t="n">
        <x:v>-1953.448760992937</x:v>
      </x:c>
      <x:c r="F8" s="59" t="n">
        <x:v>-460.385228974217</x:v>
      </x:c>
      <x:c r="G8" s="59" t="n">
        <x:v>-2398.51089463</x:v>
      </x:c>
      <x:c r="H8" s="59" t="n">
        <x:v>-905.52436385</x:v>
      </x:c>
      <x:c r="I8" s="59" t="n">
        <x:v>-1953.40037072</x:v>
      </x:c>
      <x:c r="J8" s="59" t="n">
        <x:v>-460.40097343</x:v>
      </x:c>
      <x:c r="K8" s="59" t="n">
        <x:f>C8+F8-D8-E8</x:f>
        <x:v>0.0013126691387697065</x:v>
      </x:c>
      <x:c r="L8" s="59" t="n">
        <x:f>G8+J8-H8-I8</x:f>
        <x:v>0.012866509999639675</x:v>
      </x:c>
      <x:c r="M8" s="61" t="n">
        <x:f>K8*627.509474</x:f>
        <x:v>0.8237123208054115</x:v>
      </x:c>
      <x:c r="N8" s="62" t="n">
        <x:f>L8*627.509474</x:f>
        <x:v>8.073856922089632</x:v>
      </x:c>
    </x:row>
    <x:row r="9" ht="15" hidden="0" customHeight="1">
      <x:c r="A9" s="15" t="str">
        <x:v>r²SCAN-3c</x:v>
      </x:c>
      <x:c r="B9" s="16" t="str">
        <x:v>PFOS</x:v>
      </x:c>
      <x:c r="C9" s="59" t="n">
        <x:v>-3071.263984705567</x:v>
      </x:c>
      <x:c r="D9" s="59" t="n">
        <x:v>-905.517886846123</x:v>
      </x:c>
      <x:c r="E9" s="59" t="n">
        <x:v>-2626.089844333014</x:v>
      </x:c>
      <x:c r="F9" s="59" t="n">
        <x:v>-460.345405067028</x:v>
      </x:c>
      <x:c r="G9" s="59" t="n">
        <x:v>-3070.97953381</x:v>
      </x:c>
      <x:c r="H9" s="59" t="n">
        <x:v>-905.31500817</x:v>
      </x:c>
      <x:c r="I9" s="59" t="n">
        <x:v>-2626.03564535</x:v>
      </x:c>
      <x:c r="J9" s="59" t="n">
        <x:v>-460.36114952</x:v>
      </x:c>
      <x:c r="K9" s="59" t="n">
        <x:f>C9+F9-D9-E9</x:f>
        <x:v>-0.001658593458159885</x:v>
      </x:c>
      <x:c r="L9" s="59" t="n">
        <x:f>G9+J9-H9-I9</x:f>
        <x:v>0.009970190000331058</x:v>
      </x:c>
      <x:c r="M9" s="61" t="n">
        <x:f>K9*627.509474</x:f>
        <x:v>-1.0407831085097503</x:v>
      </x:c>
      <x:c r="N9" s="62" t="n">
        <x:f>L9*627.509474</x:f>
        <x:v>6.256388682787802</x:v>
      </x:c>
    </x:row>
    <x:row r="10" ht="15" hidden="0" customHeight="1">
      <x:c r="A10" s="18" t="str">
        <x:v>ωB97X-D3</x:v>
      </x:c>
      <x:c r="B10" s="19" t="str">
        <x:v>PFOS</x:v>
      </x:c>
      <x:c r="C10" s="60" t="n">
        <x:v>-3071.948356352467</x:v>
      </x:c>
      <x:c r="D10" s="60" t="n">
        <x:v>-905.73115143515</x:v>
      </x:c>
      <x:c r="E10" s="60" t="n">
        <x:v>-2626.60170242583</x:v>
      </x:c>
      <x:c r="F10" s="60" t="n">
        <x:v>-460.385228974217</x:v>
      </x:c>
      <x:c r="G10" s="60" t="n">
        <x:v>-3071.65679623</x:v>
      </x:c>
      <x:c r="H10" s="60" t="n">
        <x:v>-905.52436385</x:v>
      </x:c>
      <x:c r="I10" s="60" t="n">
        <x:v>-2626.54253473</x:v>
      </x:c>
      <x:c r="J10" s="60" t="n">
        <x:v>-460.40097343</x:v>
      </x:c>
      <x:c r="K10" s="60" t="n">
        <x:f>C10+F10-D10-E10</x:f>
        <x:v>-0.0007314657041206374</x:v>
      </x:c>
      <x:c r="L10" s="60" t="n">
        <x:f>G10+J10-H10-I10</x:f>
        <x:v>0.009128919999966456</x:v>
      </x:c>
      <x:c r="M10" s="63" t="n">
        <x:f>K10*627.509474</x:f>
        <x:v>-0.45900165924178077</x:v>
      </x:c>
      <x:c r="N10" s="64" t="n">
        <x:f>L10*627.509474</x:f>
        <x:v>5.728483787367031</x:v>
      </x:c>
    </x:row>
    <x:row r="13">
      <x:c r="A13" t="str">
        <x:v>Common aqueous free-PFAS and chloride references are used at each functional. 1 Eh = 627.509474 kcal/mol.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9" hidden="0" customWidth="1"/>
    <x:col min="2" max="2" width="8.329999923706055" hidden="0" customWidth="1"/>
    <x:col min="3" max="3" width="9.779999732971191" hidden="0" customWidth="1"/>
    <x:col min="4" max="4" width="14.4399995803833" hidden="0" customWidth="1"/>
    <x:col min="5" max="5" width="7.440000057220459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15" hidden="0" customHeight="1">
      <x:c r="A1" s="21" t="str">
        <x:v>Table S2. BTMA and DVB-BTMA⁺ exchange energetics and source energies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3"/>
    </x:row>
    <x:row r="2" ht="64" hidden="0" customHeight="1">
      <x:c r="A2" s="38" t="str">
        <x:v>series</x:v>
      </x:c>
      <x:c r="B2" s="39" t="str">
        <x:v>functional</x:v>
      </x:c>
      <x:c r="C2" s="39" t="str">
        <x:v>model</x:v>
      </x:c>
      <x:c r="D2" s="39" t="str">
        <x:v>solvent</x:v>
      </x:c>
      <x:c r="E2" s="39" t="str">
        <x:v>PFAS</x:v>
      </x:c>
      <x:c r="F2" s="39" t="str">
        <x:v>model⁺P⁻ electronic Eh</x:v>
      </x:c>
      <x:c r="G2" s="39" t="str">
        <x:v>model⁺Cl⁻ electronic Eh</x:v>
      </x:c>
      <x:c r="H2" s="39" t="str">
        <x:v>P⁻ electronic Eh</x:v>
      </x:c>
      <x:c r="I2" s="39" t="str">
        <x:v>Cl⁻ electronic Eh</x:v>
      </x:c>
      <x:c r="J2" s="39" t="str">
        <x:v>model⁺P⁻ gibbs Eh</x:v>
      </x:c>
      <x:c r="K2" s="39" t="str">
        <x:v>model⁺Cl⁻ gibbs Eh</x:v>
      </x:c>
      <x:c r="L2" s="39" t="str">
        <x:v>P⁻ gibbs Eh</x:v>
      </x:c>
      <x:c r="M2" s="39" t="str">
        <x:v>Cl⁻ gibbs Eh</x:v>
      </x:c>
      <x:c r="N2" s="39" t="str">
        <x:v>DeltaE exchange Eh</x:v>
      </x:c>
      <x:c r="O2" s="39" t="str">
        <x:v>DeltaG exchange Eh</x:v>
      </x:c>
      <x:c r="P2" s="39" t="str">
        <x:v>DeltaE exchange kcal mol</x:v>
      </x:c>
      <x:c r="Q2" s="40" t="str">
        <x:v>DeltaG exchange kcal mol</x:v>
      </x:c>
    </x:row>
    <x:row r="3" ht="15" hidden="0" customHeight="1">
      <x:c r="A3" s="15" t="str">
        <x:v>BTMA (ωB97X-D3)</x:v>
      </x:c>
      <x:c r="B3" s="16" t="str">
        <x:v>ωB97X-D3</x:v>
      </x:c>
      <x:c r="C3" s="16" t="str">
        <x:v>BTMA⁺</x:v>
      </x:c>
      <x:c r="D3" s="16" t="str">
        <x:v>water</x:v>
      </x:c>
      <x:c r="E3" s="16" t="str">
        <x:v>6:2 FTCA</x:v>
      </x:c>
      <x:c r="F3" s="59" t="n">
        <x:v>-2200.289787524607</x:v>
      </x:c>
      <x:c r="G3" s="59" t="n">
        <x:v>-905.73115143515</x:v>
      </x:c>
      <x:c r="H3" s="59" t="n">
        <x:v>-1754.938877499405</x:v>
      </x:c>
      <x:c r="I3" s="59" t="n">
        <x:v>-460.385228974217</x:v>
      </x:c>
      <x:c r="J3" s="59" t="n">
        <x:v>-2199.99167612</x:v>
      </x:c>
      <x:c r="K3" s="59" t="n">
        <x:v>-905.52436385</x:v>
      </x:c>
      <x:c r="L3" s="59" t="n">
        <x:v>-1754.87158616</x:v>
      </x:c>
      <x:c r="M3" s="59" t="n">
        <x:v>-460.40097343</x:v>
      </x:c>
      <x:c r="N3" s="59" t="n">
        <x:f>F3+I3-G3-H3</x:f>
        <x:v>-0.004987564269413269</x:v>
      </x:c>
      <x:c r="O3" s="59" t="n">
        <x:f>J3+M3-K3-L3</x:f>
        <x:v>0.0033004600002186635</x:v>
      </x:c>
      <x:c r="P3" s="61" t="n">
        <x:f>N3*627.509474</x:f>
        <x:v>-3.129743831240715</x:v>
      </x:c>
      <x:c r="Q3" s="62" t="n">
        <x:f>O3*627.509474</x:f>
        <x:v>2.0710699186952533</x:v>
      </x:c>
    </x:row>
    <x:row r="4" ht="15" hidden="0" customHeight="1">
      <x:c r="A4" s="15" t="str">
        <x:v>BTMA (ωB97X-D3)</x:v>
      </x:c>
      <x:c r="B4" s="16" t="str">
        <x:v>ωB97X-D3</x:v>
      </x:c>
      <x:c r="C4" s="16" t="str">
        <x:v>BTMA⁺</x:v>
      </x:c>
      <x:c r="D4" s="16" t="str">
        <x:v>water</x:v>
      </x:c>
      <x:c r="E4" s="16" t="str">
        <x:v>PFHxA</x:v>
      </x:c>
      <x:c r="F4" s="59" t="n">
        <x:v>-1923.137309076471</x:v>
      </x:c>
      <x:c r="G4" s="59" t="n">
        <x:v>-905.73115143515</x:v>
      </x:c>
      <x:c r="H4" s="59" t="n">
        <x:v>-1477.788129952896</x:v>
      </x:c>
      <x:c r="I4" s="59" t="n">
        <x:v>-460.385228974217</x:v>
      </x:c>
      <x:c r="J4" s="59" t="n">
        <x:v>-1922.87422607</x:v>
      </x:c>
      <x:c r="K4" s="59" t="n">
        <x:v>-905.52436385</x:v>
      </x:c>
      <x:c r="L4" s="59" t="n">
        <x:v>-1477.75805868</x:v>
      </x:c>
      <x:c r="M4" s="59" t="n">
        <x:v>-460.40097343</x:v>
      </x:c>
      <x:c r="N4" s="59" t="n">
        <x:f>F4+I4-G4-H4</x:f>
        <x:v>-0.0032566626421157707</x:v>
      </x:c>
      <x:c r="O4" s="59" t="n">
        <x:f>J4+M4-K4-L4</x:f>
        <x:v>0.007223030000204744</x:v>
      </x:c>
      <x:c r="P4" s="61" t="n">
        <x:f>N4*627.509474</x:f>
        <x:v>-2.0435866615495173</x:v>
      </x:c>
      <x:c r="Q4" s="62" t="n">
        <x:f>O4*627.509474</x:f>
        <x:v>4.532519756114699</x:v>
      </x:c>
    </x:row>
    <x:row r="5" ht="15" hidden="0" customHeight="1">
      <x:c r="A5" s="15" t="str">
        <x:v>BTMA (ωB97X-D3)</x:v>
      </x:c>
      <x:c r="B5" s="16" t="str">
        <x:v>ωB97X-D3</x:v>
      </x:c>
      <x:c r="C5" s="16" t="str">
        <x:v>BTMA⁺</x:v>
      </x:c>
      <x:c r="D5" s="16" t="str">
        <x:v>water</x:v>
      </x:c>
      <x:c r="E5" s="16" t="str">
        <x:v>PFOA</x:v>
      </x:c>
      <x:c r="F5" s="59" t="n">
        <x:v>-2398.793370784731</x:v>
      </x:c>
      <x:c r="G5" s="59" t="n">
        <x:v>-905.73115143515</x:v>
      </x:c>
      <x:c r="H5" s="59" t="n">
        <x:v>-1953.448760992937</x:v>
      </x:c>
      <x:c r="I5" s="59" t="n">
        <x:v>-460.385228974217</x:v>
      </x:c>
      <x:c r="J5" s="59" t="n">
        <x:v>-2398.51089463</x:v>
      </x:c>
      <x:c r="K5" s="59" t="n">
        <x:v>-905.52436385</x:v>
      </x:c>
      <x:c r="L5" s="59" t="n">
        <x:v>-1953.40037072</x:v>
      </x:c>
      <x:c r="M5" s="59" t="n">
        <x:v>-460.40097343</x:v>
      </x:c>
      <x:c r="N5" s="59" t="n">
        <x:f>F5+I5-G5-H5</x:f>
        <x:v>0.0013126691387697065</x:v>
      </x:c>
      <x:c r="O5" s="59" t="n">
        <x:f>J5+M5-K5-L5</x:f>
        <x:v>0.012866509999639675</x:v>
      </x:c>
      <x:c r="P5" s="61" t="n">
        <x:f>N5*627.509474</x:f>
        <x:v>0.8237123208054115</x:v>
      </x:c>
      <x:c r="Q5" s="62" t="n">
        <x:f>O5*627.509474</x:f>
        <x:v>8.073856922089632</x:v>
      </x:c>
    </x:row>
    <x:row r="6" ht="15" hidden="0" customHeight="1">
      <x:c r="A6" s="15" t="str">
        <x:v>BTMA (ωB97X-D3)</x:v>
      </x:c>
      <x:c r="B6" s="16" t="str">
        <x:v>ωB97X-D3</x:v>
      </x:c>
      <x:c r="C6" s="16" t="str">
        <x:v>BTMA⁺</x:v>
      </x:c>
      <x:c r="D6" s="16" t="str">
        <x:v>water</x:v>
      </x:c>
      <x:c r="E6" s="16" t="str">
        <x:v>PFOS</x:v>
      </x:c>
      <x:c r="F6" s="59" t="n">
        <x:v>-3071.948356352467</x:v>
      </x:c>
      <x:c r="G6" s="59" t="n">
        <x:v>-905.73115143515</x:v>
      </x:c>
      <x:c r="H6" s="59" t="n">
        <x:v>-2626.60170242583</x:v>
      </x:c>
      <x:c r="I6" s="59" t="n">
        <x:v>-460.385228974217</x:v>
      </x:c>
      <x:c r="J6" s="59" t="n">
        <x:v>-3071.65679623</x:v>
      </x:c>
      <x:c r="K6" s="59" t="n">
        <x:v>-905.52436385</x:v>
      </x:c>
      <x:c r="L6" s="59" t="n">
        <x:v>-2626.54253473</x:v>
      </x:c>
      <x:c r="M6" s="59" t="n">
        <x:v>-460.40097343</x:v>
      </x:c>
      <x:c r="N6" s="59" t="n">
        <x:f>F6+I6-G6-H6</x:f>
        <x:v>-0.0007314657041206374</x:v>
      </x:c>
      <x:c r="O6" s="59" t="n">
        <x:f>J6+M6-K6-L6</x:f>
        <x:v>0.009128919999966456</x:v>
      </x:c>
      <x:c r="P6" s="61" t="n">
        <x:f>N6*627.509474</x:f>
        <x:v>-0.45900165924178077</x:v>
      </x:c>
      <x:c r="Q6" s="62" t="n">
        <x:f>O6*627.509474</x:f>
        <x:v>5.728483787367031</x:v>
      </x:c>
    </x:row>
    <x:row r="7" ht="15" hidden="0" customHeight="1">
      <x:c r="A7" s="15" t="str">
        <x:v>DVB-BTMA⁺ (1-octanol)</x:v>
      </x:c>
      <x:c r="B7" s="16" t="str">
        <x:v>ωB97X-D3</x:v>
      </x:c>
      <x:c r="C7" s="16" t="str">
        <x:v>DVB-BTMA⁺</x:v>
      </x:c>
      <x:c r="D7" s="16" t="str">
        <x:v>1-octanol (ε = 9.8629)</x:v>
      </x:c>
      <x:c r="E7" s="16" t="str">
        <x:v>PFOA</x:v>
      </x:c>
      <x:c r="F7" s="59" t="n">
        <x:v>-2865.805580031053</x:v>
      </x:c>
      <x:c r="G7" s="59" t="n">
        <x:v>-1372.72715811557</x:v>
      </x:c>
      <x:c r="H7" s="59" t="n">
        <x:v>-1953.448760992937</x:v>
      </x:c>
      <x:c r="I7" s="59" t="n">
        <x:v>-460.385228974217</x:v>
      </x:c>
      <x:c r="J7" s="59" t="n">
        <x:v>-2865.28317784</x:v>
      </x:c>
      <x:c r="K7" s="59" t="n">
        <x:v>-1372.2834657</x:v>
      </x:c>
      <x:c r="L7" s="59" t="n">
        <x:v>-1953.40037072</x:v>
      </x:c>
      <x:c r="M7" s="59" t="n">
        <x:v>-460.40097343</x:v>
      </x:c>
      <x:c r="N7" s="59" t="n">
        <x:f>F7+I7-G7-H7</x:f>
        <x:v>-0.014889896763179422</x:v>
      </x:c>
      <x:c r="O7" s="59" t="n">
        <x:f>J7+M7-K7-L7</x:f>
        <x:v>-0.00031485000022257736</x:v>
      </x:c>
      <x:c r="P7" s="61" t="n">
        <x:f>N7*627.509474</x:f>
        <x:v>-9.343551285777021</x:v>
      </x:c>
      <x:c r="Q7" s="62" t="n">
        <x:f>O7*627.509474</x:f>
        <x:v>-0.1975713580285694</x:v>
      </x:c>
    </x:row>
    <x:row r="8" ht="15" hidden="0" customHeight="1">
      <x:c r="A8" s="15" t="str">
        <x:v>DVB-BTMA⁺ (water)</x:v>
      </x:c>
      <x:c r="B8" s="16" t="str">
        <x:v>ωB97X-D3</x:v>
      </x:c>
      <x:c r="C8" s="16" t="str">
        <x:v>DVB-BTMA⁺</x:v>
      </x:c>
      <x:c r="D8" s="16" t="str">
        <x:v>water</x:v>
      </x:c>
      <x:c r="E8" s="16" t="str">
        <x:v>6:2 FTCA</x:v>
      </x:c>
      <x:c r="F8" s="59" t="n">
        <x:v>-2667.277650979505</x:v>
      </x:c>
      <x:c r="G8" s="59" t="n">
        <x:v>-1372.713160371018</x:v>
      </x:c>
      <x:c r="H8" s="59" t="n">
        <x:v>-1754.938877499405</x:v>
      </x:c>
      <x:c r="I8" s="59" t="n">
        <x:v>-460.385228974217</x:v>
      </x:c>
      <x:c r="J8" s="59" t="n">
        <x:v>-2666.7369246</x:v>
      </x:c>
      <x:c r="K8" s="59" t="n">
        <x:v>-1372.26934478</x:v>
      </x:c>
      <x:c r="L8" s="59" t="n">
        <x:v>-1754.87158616</x:v>
      </x:c>
      <x:c r="M8" s="59" t="n">
        <x:v>-460.40097343</x:v>
      </x:c>
      <x:c r="N8" s="59" t="n">
        <x:f>F8+I8-G8-H8</x:f>
        <x:v>-0.010842083299166916</x:v>
      </x:c>
      <x:c r="O8" s="59" t="n">
        <x:f>J8+M8-K8-L8</x:f>
        <x:v>0.003032910000456468</x:v>
      </x:c>
      <x:c r="P8" s="61" t="n">
        <x:f>N8*627.509474</x:f>
        <x:v>-6.803509988124415</x:v>
      </x:c>
      <x:c r="Q8" s="62" t="n">
        <x:f>O8*627.509474</x:f>
        <x:v>1.9031797590757777</x:v>
      </x:c>
    </x:row>
    <x:row r="9" ht="15" hidden="0" customHeight="1">
      <x:c r="A9" s="15" t="str">
        <x:v>DVB-BTMA⁺ (water)</x:v>
      </x:c>
      <x:c r="B9" s="16" t="str">
        <x:v>ωB97X-D3</x:v>
      </x:c>
      <x:c r="C9" s="16" t="str">
        <x:v>DVB-BTMA⁺</x:v>
      </x:c>
      <x:c r="D9" s="16" t="str">
        <x:v>water</x:v>
      </x:c>
      <x:c r="E9" s="16" t="str">
        <x:v>PFHxA</x:v>
      </x:c>
      <x:c r="F9" s="59" t="n">
        <x:v>-2390.127333629396</x:v>
      </x:c>
      <x:c r="G9" s="59" t="n">
        <x:v>-1372.713160371018</x:v>
      </x:c>
      <x:c r="H9" s="59" t="n">
        <x:v>-1477.788129952896</x:v>
      </x:c>
      <x:c r="I9" s="59" t="n">
        <x:v>-460.385228974217</x:v>
      </x:c>
      <x:c r="J9" s="59" t="n">
        <x:v>-2389.62375647</x:v>
      </x:c>
      <x:c r="K9" s="59" t="n">
        <x:v>-1372.26934478</x:v>
      </x:c>
      <x:c r="L9" s="59" t="n">
        <x:v>-1477.75805868</x:v>
      </x:c>
      <x:c r="M9" s="59" t="n">
        <x:v>-460.40097343</x:v>
      </x:c>
      <x:c r="N9" s="59" t="n">
        <x:f>F9+I9-G9-H9</x:f>
        <x:v>-0.011272279699369392</x:v>
      </x:c>
      <x:c r="O9" s="59" t="n">
        <x:f>J9+M9-K9-L9</x:f>
        <x:v>0.0026735599997209647</x:v>
      </x:c>
      <x:c r="P9" s="61" t="n">
        <x:f>N9*627.509474</x:f>
        <x:v>-7.073462304932165</x:v>
      </x:c>
      <x:c r="Q9" s="62" t="n">
        <x:f>O9*627.509474</x:f>
        <x:v>1.6776842291323426</x:v>
      </x:c>
    </x:row>
    <x:row r="10" ht="15" hidden="0" customHeight="1">
      <x:c r="A10" s="15" t="str">
        <x:v>DVB-BTMA⁺ (water)</x:v>
      </x:c>
      <x:c r="B10" s="16" t="str">
        <x:v>ωB97X-D3</x:v>
      </x:c>
      <x:c r="C10" s="16" t="str">
        <x:v>DVB-BTMA⁺</x:v>
      </x:c>
      <x:c r="D10" s="16" t="str">
        <x:v>water</x:v>
      </x:c>
      <x:c r="E10" s="16" t="str">
        <x:v>PFOA</x:v>
      </x:c>
      <x:c r="F10" s="59" t="n">
        <x:v>-2865.791899333968</x:v>
      </x:c>
      <x:c r="G10" s="59" t="n">
        <x:v>-1372.713160371018</x:v>
      </x:c>
      <x:c r="H10" s="59" t="n">
        <x:v>-1953.448760992937</x:v>
      </x:c>
      <x:c r="I10" s="59" t="n">
        <x:v>-460.385228974217</x:v>
      </x:c>
      <x:c r="J10" s="59" t="n">
        <x:v>-2865.26946538</x:v>
      </x:c>
      <x:c r="K10" s="59" t="n">
        <x:v>-1372.26934478</x:v>
      </x:c>
      <x:c r="L10" s="59" t="n">
        <x:v>-1953.40037072</x:v>
      </x:c>
      <x:c r="M10" s="59" t="n">
        <x:v>-460.40097343</x:v>
      </x:c>
      <x:c r="N10" s="59" t="n">
        <x:f>F10+I10-G10-H10</x:f>
        <x:v>-0.015206944230385488</x:v>
      </x:c>
      <x:c r="O10" s="59" t="n">
        <x:f>J10+M10-K10-L10</x:f>
        <x:v>-0.0007233099997847603</x:v>
      </x:c>
      <x:c r="P10" s="61" t="n">
        <x:f>N10*627.509474</x:f>
        <x:v>-9.542501575156532</x:v>
      </x:c>
      <x:c r="Q10" s="62" t="n">
        <x:f>O10*627.509474</x:f>
        <x:v>-0.453883877503875</x:v>
      </x:c>
    </x:row>
    <x:row r="11" ht="15" hidden="0" customHeight="1">
      <x:c r="A11" s="15" t="str">
        <x:v>DVB-BTMA⁺ (water)</x:v>
      </x:c>
      <x:c r="B11" s="16" t="str">
        <x:v>ωB97X-D3</x:v>
      </x:c>
      <x:c r="C11" s="16" t="str">
        <x:v>DVB-BTMA⁺</x:v>
      </x:c>
      <x:c r="D11" s="16" t="str">
        <x:v>water</x:v>
      </x:c>
      <x:c r="E11" s="16" t="str">
        <x:v>PFOS</x:v>
      </x:c>
      <x:c r="F11" s="59" t="n">
        <x:v>-3538.944164571592</x:v>
      </x:c>
      <x:c r="G11" s="59" t="n">
        <x:v>-1372.713160371018</x:v>
      </x:c>
      <x:c r="H11" s="59" t="n">
        <x:v>-2626.60170242583</x:v>
      </x:c>
      <x:c r="I11" s="59" t="n">
        <x:v>-460.385228974217</x:v>
      </x:c>
      <x:c r="J11" s="59" t="n">
        <x:v>-3538.4092408</x:v>
      </x:c>
      <x:c r="K11" s="59" t="n">
        <x:v>-1372.26934478</x:v>
      </x:c>
      <x:c r="L11" s="59" t="n">
        <x:v>-2626.54253473</x:v>
      </x:c>
      <x:c r="M11" s="59" t="n">
        <x:v>-460.40097343</x:v>
      </x:c>
      <x:c r="N11" s="59" t="n">
        <x:f>F11+I11-G11-H11</x:f>
        <x:v>-0.014530748961078643</x:v>
      </x:c>
      <x:c r="O11" s="59" t="n">
        <x:f>J11+M11-K11-L11</x:f>
        <x:v>0.0016652799999974377</x:v>
      </x:c>
      <x:c r="P11" s="61" t="n">
        <x:f>N11*627.509474</x:f>
        <x:v>-9.118182637392506</x:v>
      </x:c>
      <x:c r="Q11" s="62" t="n">
        <x:f>O11*627.509474</x:f>
        <x:v>1.044978976861112</x:v>
      </x:c>
    </x:row>
    <x:row r="12" ht="15" hidden="0" customHeight="1">
      <x:c r="A12" s="18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20"/>
    </x:row>
    <x:row r="14">
      <x:c r="A14" t="str">
        <x:v>Free ions remain aqueous in both solvent cycles. Common references are used for both resin models at each functional.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1" hidden="0" customWidth="1"/>
    <x:col min="2" max="2" width="24.670000076293945" hidden="0" customWidth="1"/>
    <x:col min="3" max="3" width="18.670000076293945" hidden="0" customWidth="1"/>
    <x:col min="4" max="4" width="23.559999465942383" hidden="0" customWidth="1"/>
    <x:col min="5" max="5" width="18.440000534057617" hidden="0" customWidth="1"/>
    <x:col min="6" max="6" width="24.329999923706055" hidden="0" customWidth="1"/>
    <x:col min="7" max="7" width="19.780000686645508" hidden="0" customWidth="1"/>
    <x:col min="8" max="8" width="21.440000534057617" hidden="0" customWidth="1"/>
    <x:col min="9" max="9" width="19.219999313354492" hidden="0" customWidth="1"/>
    <x:col min="10" max="10" width="24.670000076293945" hidden="0" customWidth="1"/>
    <x:col min="11" max="11" width="22" hidden="0" customWidth="1"/>
    <x:col min="12" max="12" width="22" hidden="0" customWidth="1"/>
    <x:col min="13" max="13" width="70" hidden="0" customWidth="1"/>
  </x:cols>
  <x:sheetData>
    <x:row r="1" ht="15" hidden="0" customHeight="1">
      <x:c r="A1" s="21" t="str">
        <x:v>Table S3. EDA component values for BTMA⁺P⁻ and DVB-BTMA⁺P⁻ complexes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3"/>
    </x:row>
    <x:row r="2" ht="64" hidden="0" customHeight="1">
      <x:c r="A2" s="38" t="str">
        <x:v>PFAS</x:v>
      </x:c>
      <x:c r="B2" s="39" t="str">
        <x:v>series</x:v>
      </x:c>
      <x:c r="C2" s="39" t="str">
        <x:v>Bond Energy (kcal/mol)</x:v>
      </x:c>
      <x:c r="D2" s="39" t="str">
        <x:v>Pauli Energy (kcal/mol)</x:v>
      </x:c>
      <x:c r="E2" s="39" t="str">
        <x:v>Electrostatic Energy (kcal/mol)</x:v>
      </x:c>
      <x:c r="F2" s="39" t="str">
        <x:v>Orbital Energy (kcal/mol)</x:v>
      </x:c>
      <x:c r="G2" s="39" t="str">
        <x:v>Delta Dispersion (kcal/mol)</x:v>
      </x:c>
      <x:c r="H2" s="39" t="str">
        <x:v>Delta E^0(XC) (kcal/mol)</x:v>
      </x:c>
      <x:c r="I2" s="39" t="str">
        <x:v>Delta gCP correction (kcal/mol)</x:v>
      </x:c>
      <x:c r="J2" s="39" t="str">
        <x:v>Delta CPCM Dielectric (kcal/mol)</x:v>
      </x:c>
      <x:c r="K2" s="40" t="str">
        <x:v>Component sum (kcal/mol)</x:v>
      </x:c>
      <x:c r="L2" s="66" t="str">
        <x:v>Bond minus sum (kcal/mol)</x:v>
      </x:c>
      <x:c r="M2" s="66" t="str">
        <x:v>Source output</x:v>
      </x:c>
    </x:row>
    <x:row r="3" ht="32" hidden="0" customHeight="1">
      <x:c r="A3" s="15" t="str">
        <x:v>6:2 FTCA</x:v>
      </x:c>
      <x:c r="B3" s="16" t="str">
        <x:v>BTMA⁺ (r²SCAN-3c)</x:v>
      </x:c>
      <x:c r="C3" s="61" t="n">
        <x:v>5.714036762270072</x:v>
      </x:c>
      <x:c r="D3" s="61" t="n">
        <x:v>15.730572905729346</x:v>
      </x:c>
      <x:c r="E3" s="61" t="n">
        <x:v>-97.51216848451921</x:v>
      </x:c>
      <x:c r="F3" s="61" t="n">
        <x:v>-0.8974371923093126</x:v>
      </x:c>
      <x:c r="G3" s="61" t="n">
        <x:v>-0.9666659827603621</x:v>
      </x:c>
      <x:c r="H3" s="61" t="n">
        <x:v>-5.06032061010741</x:v>
      </x:c>
      <x:c r="I3" s="65" t="n">
        <x:v>0.1105989840491318</x:v>
      </x:c>
      <x:c r="J3" s="61" t="n">
        <x:v>78.14665276147282</x:v>
      </x:c>
      <x:c r="K3" s="62" t="n">
        <x:f>SUM(D3:J3)</x:f>
        <x:v>-10.44876761844499</x:v>
      </x:c>
      <x:c r="L3" s="67" t="n">
        <x:f>C3-K3</x:f>
        <x:v>16.162804380715063</x:v>
      </x:c>
      <x:c r="M3" s="68" t="str">
        <x:v>01_Calculations/01_BTMA/03_EDA/r2scan-3c/R4N+FHEA-_r2/R4N+FHEA-_r2.out</x:v>
      </x:c>
    </x:row>
    <x:row r="4" ht="32" hidden="0" customHeight="1">
      <x:c r="A4" s="15" t="str">
        <x:v>6:2 FTCA</x:v>
      </x:c>
      <x:c r="B4" s="16" t="str">
        <x:v>BTMA⁺ (ωB97X-D3)</x:v>
      </x:c>
      <x:c r="C4" s="61" t="n">
        <x:v>-2.9212779240614797</x:v>
      </x:c>
      <x:c r="D4" s="61" t="n">
        <x:v>10.336284537200184</x:v>
      </x:c>
      <x:c r="E4" s="61" t="n">
        <x:v>-102.63878942386441</x:v>
      </x:c>
      <x:c r="F4" s="61" t="n">
        <x:v>-0.6983541013465994</x:v>
      </x:c>
      <x:c r="G4" s="61" t="n">
        <x:v>-1.8438080754087247</x:v>
      </x:c>
      <x:c r="H4" s="61" t="n">
        <x:v>-3.5612686242502867</x:v>
      </x:c>
      <x:c r="I4" s="65" t="str">
        <x:v>Not separately reported</x:v>
      </x:c>
      <x:c r="J4" s="61" t="n">
        <x:v>79.3999223385612</x:v>
      </x:c>
      <x:c r="K4" s="62" t="n">
        <x:f>SUM(D4:J4)</x:f>
        <x:v>-19.006013349108642</x:v>
      </x:c>
      <x:c r="L4" s="67" t="n">
        <x:f>C4-K4</x:f>
        <x:v>16.084735425047164</x:v>
      </x:c>
      <x:c r="M4" s="68" t="str">
        <x:v>01_Calculations/01_BTMA/03_EDA/wb97x-d3/R4N+FHEA-_wb/R4N+FHEA-_wb.out</x:v>
      </x:c>
    </x:row>
    <x:row r="5" ht="32" hidden="0" customHeight="1">
      <x:c r="A5" s="15" t="str">
        <x:v>6:2 FTCA</x:v>
      </x:c>
      <x:c r="B5" s="16" t="str">
        <x:v>DVB-BTMA⁺ (water)</x:v>
      </x:c>
      <x:c r="C5" s="61" t="n">
        <x:v>-10.102441813944187</x:v>
      </x:c>
      <x:c r="D5" s="61" t="n">
        <x:v>25.77094443179998</x:v>
      </x:c>
      <x:c r="E5" s="61" t="n">
        <x:v>-114.84013904540697</x:v>
      </x:c>
      <x:c r="F5" s="61" t="n">
        <x:v>-1.5935424252029908</x:v>
      </x:c>
      <x:c r="G5" s="61" t="n">
        <x:v>-8.6064794964842</x:v>
      </x:c>
      <x:c r="H5" s="61" t="n">
        <x:v>-8.380719471759008</x:v>
      </x:c>
      <x:c r="I5" s="65" t="str">
        <x:v>Not separately reported</x:v>
      </x:c>
      <x:c r="J5" s="61" t="n">
        <x:v>80.22682985052892</x:v>
      </x:c>
      <x:c r="K5" s="62" t="n">
        <x:f>SUM(D5:J5)</x:f>
        <x:v>-27.423106156524284</x:v>
      </x:c>
      <x:c r="L5" s="67" t="n">
        <x:f>C5-K5</x:f>
        <x:v>17.320664342580095</x:v>
      </x:c>
      <x:c r="M5" s="68" t="str">
        <x:v>01_Calculations/02_Extended_Monomer/water/03_EDA/wb97x-d3/R4N+FHEA-_EDA/R4N+FHEA-_EDA.out</x:v>
      </x:c>
    </x:row>
    <x:row r="6" ht="32" hidden="0" customHeight="1">
      <x:c r="A6" s="15" t="str">
        <x:v>PFHxA</x:v>
      </x:c>
      <x:c r="B6" s="16" t="str">
        <x:v>BTMA⁺ (r²SCAN-3c)</x:v>
      </x:c>
      <x:c r="C6" s="61" t="n">
        <x:v>-5.008687373560163</x:v>
      </x:c>
      <x:c r="D6" s="61" t="n">
        <x:v>8.484039471411634</x:v>
      </x:c>
      <x:c r="E6" s="61" t="n">
        <x:v>-88.62741746450277</x:v>
      </x:c>
      <x:c r="F6" s="61" t="n">
        <x:v>-0.9955476710597387</x:v>
      </x:c>
      <x:c r="G6" s="61" t="n">
        <x:v>-1.7016328773788605</x:v>
      </x:c>
      <x:c r="H6" s="61" t="n">
        <x:v>-6.637318810779339</x:v>
      </x:c>
      <x:c r="I6" s="65" t="n">
        <x:v>0.28304153679885957</x:v>
      </x:c>
      <x:c r="J6" s="61" t="n">
        <x:v>70.53984172801317</x:v>
      </x:c>
      <x:c r="K6" s="62" t="n">
        <x:f>SUM(D6:J6)</x:f>
        <x:v>-18.65499408749703</x:v>
      </x:c>
      <x:c r="L6" s="67" t="n">
        <x:f>C6-K6</x:f>
        <x:v>13.646306713936866</x:v>
      </x:c>
      <x:c r="M6" s="68" t="str">
        <x:v>01_Calculations/01_BTMA/03_EDA/r2scan-3c/R4N+PFHxA-_r2/R4N+PFHxA-_r2.out</x:v>
      </x:c>
    </x:row>
    <x:row r="7" ht="32" hidden="0" customHeight="1">
      <x:c r="A7" s="15" t="str">
        <x:v>PFHxA</x:v>
      </x:c>
      <x:c r="B7" s="16" t="str">
        <x:v>BTMA⁺ (ωB97X-D3)</x:v>
      </x:c>
      <x:c r="C7" s="61" t="n">
        <x:v>-5.27955384604258</x:v>
      </x:c>
      <x:c r="D7" s="61" t="n">
        <x:v>12.926472022031044</x:v>
      </x:c>
      <x:c r="E7" s="61" t="n">
        <x:v>-94.36352498999236</x:v>
      </x:c>
      <x:c r="F7" s="61" t="n">
        <x:v>-0.8745755788997025</x:v>
      </x:c>
      <x:c r="G7" s="61" t="n">
        <x:v>-3.5580839509187894</x:v>
      </x:c>
      <x:c r="H7" s="61" t="n">
        <x:v>-4.155784842375367</x:v>
      </x:c>
      <x:c r="I7" s="65" t="str">
        <x:v>Not separately reported</x:v>
      </x:c>
      <x:c r="J7" s="61" t="n">
        <x:v>71.16315391664348</x:v>
      </x:c>
      <x:c r="K7" s="62" t="n">
        <x:f>SUM(D7:J7)</x:f>
        <x:v>-18.86234342351169</x:v>
      </x:c>
      <x:c r="L7" s="67" t="n">
        <x:f>C7-K7</x:f>
        <x:v>13.582789577469109</x:v>
      </x:c>
      <x:c r="M7" s="68" t="str">
        <x:v>01_Calculations/01_BTMA/03_EDA/wb97x-d3/R4N+PFHxA-_wb/R4N+PFHxA-_wb.out</x:v>
      </x:c>
    </x:row>
    <x:row r="8" ht="32" hidden="0" customHeight="1">
      <x:c r="A8" s="15" t="str">
        <x:v>PFHxA</x:v>
      </x:c>
      <x:c r="B8" s="16" t="str">
        <x:v>DVB-BTMA⁺ (water)</x:v>
      </x:c>
      <x:c r="C8" s="61" t="n">
        <x:v>-8.708419289048763</x:v>
      </x:c>
      <x:c r="D8" s="61" t="n">
        <x:v>21.176753672218517</x:v>
      </x:c>
      <x:c r="E8" s="61" t="n">
        <x:v>-92.90755560833692</x:v>
      </x:c>
      <x:c r="F8" s="61" t="n">
        <x:v>-1.1923198956334997</x:v>
      </x:c>
      <x:c r="G8" s="61" t="n">
        <x:v>-7.5636629800198305</x:v>
      </x:c>
      <x:c r="H8" s="61" t="n">
        <x:v>-6.700195887583613</x:v>
      </x:c>
      <x:c r="I8" s="65" t="str">
        <x:v>Not separately reported</x:v>
      </x:c>
      <x:c r="J8" s="61" t="n">
        <x:v>61.92210521357299</x:v>
      </x:c>
      <x:c r="K8" s="62" t="n">
        <x:f>SUM(D8:J8)</x:f>
        <x:v>-25.26487548578237</x:v>
      </x:c>
      <x:c r="L8" s="67" t="n">
        <x:f>C8-K8</x:f>
        <x:v>16.556456196733606</x:v>
      </x:c>
      <x:c r="M8" s="68" t="str">
        <x:v>01_Calculations/02_Extended_Monomer/water/03_EDA/wb97x-d3/R4N+PFHxA-_EDA/R4N+PFHxA-_EDA.out</x:v>
      </x:c>
    </x:row>
    <x:row r="9" ht="32" hidden="0" customHeight="1">
      <x:c r="A9" s="15" t="str">
        <x:v>PFOA</x:v>
      </x:c>
      <x:c r="B9" s="16" t="str">
        <x:v>BTMA⁺ (r²SCAN-3c)</x:v>
      </x:c>
      <x:c r="C9" s="61" t="n">
        <x:v>-4.114734051099551</x:v>
      </x:c>
      <x:c r="D9" s="61" t="n">
        <x:v>6.302376090887835</x:v>
      </x:c>
      <x:c r="E9" s="61" t="n">
        <x:v>-88.15297574898611</x:v>
      </x:c>
      <x:c r="F9" s="61" t="n">
        <x:v>-0.5837276359914407</x:v>
      </x:c>
      <x:c r="G9" s="61" t="n">
        <x:v>-1.4697354962432123</x:v>
      </x:c>
      <x:c r="H9" s="61" t="n">
        <x:v>-5.14518524237496</x:v>
      </x:c>
      <x:c r="I9" s="65" t="n">
        <x:v>0.19070916528502557</x:v>
      </x:c>
      <x:c r="J9" s="61" t="n">
        <x:v>68.75595610105039</x:v>
      </x:c>
      <x:c r="K9" s="62" t="n">
        <x:f>SUM(D9:J9)</x:f>
        <x:v>-20.10258276637248</x:v>
      </x:c>
      <x:c r="L9" s="67" t="n">
        <x:f>C9-K9</x:f>
        <x:v>15.987848715272929</x:v>
      </x:c>
      <x:c r="M9" s="68" t="str">
        <x:v>01_Calculations/01_BTMA/03_EDA/r2scan-3c/R4N+PFOA-_r2/R4N+PFOA-_r2.out</x:v>
      </x:c>
    </x:row>
    <x:row r="10" ht="32" hidden="0" customHeight="1">
      <x:c r="A10" s="15" t="str">
        <x:v>PFOA</x:v>
      </x:c>
      <x:c r="B10" s="16" t="str">
        <x:v>BTMA⁺ (ωB97X-D3)</x:v>
      </x:c>
      <x:c r="C10" s="61" t="n">
        <x:v>-4.391151472388972</x:v>
      </x:c>
      <x:c r="D10" s="61" t="n">
        <x:v>9.258612818749643</x:v>
      </x:c>
      <x:c r="E10" s="61" t="n">
        <x:v>-92.24241583445293</x:v>
      </x:c>
      <x:c r="F10" s="61" t="n">
        <x:v>-0.5041701023492988</x:v>
      </x:c>
      <x:c r="G10" s="61" t="n">
        <x:v>-2.988003077213164</x:v>
      </x:c>
      <x:c r="H10" s="61" t="n">
        <x:v>-3.097718465171956</x:v>
      </x:c>
      <x:c r="I10" s="65" t="str">
        <x:v>Not separately reported</x:v>
      </x:c>
      <x:c r="J10" s="61" t="n">
        <x:v>69.26598751839254</x:v>
      </x:c>
      <x:c r="K10" s="62" t="n">
        <x:f>SUM(D10:J10)</x:f>
        <x:v>-20.30770714204516</x:v>
      </x:c>
      <x:c r="L10" s="67" t="n">
        <x:f>C10-K10</x:f>
        <x:v>15.916555669656187</x:v>
      </x:c>
      <x:c r="M10" s="68" t="str">
        <x:v>01_Calculations/01_BTMA/03_EDA/wb97x-d3/R4N+PFOA-_wb/R4N+PFOA-_wb.out</x:v>
      </x:c>
    </x:row>
    <x:row r="11" ht="32" hidden="0" customHeight="1">
      <x:c r="A11" s="15" t="str">
        <x:v>PFOA</x:v>
      </x:c>
      <x:c r="B11" s="16" t="str">
        <x:v>DVB-BTMA⁺ (1-octanol)</x:v>
      </x:c>
      <x:c r="C11" s="61" t="n">
        <x:v>-14.682919106982753</x:v>
      </x:c>
      <x:c r="D11" s="61" t="n">
        <x:v>28.398383389045378</x:v>
      </x:c>
      <x:c r="E11" s="61" t="n">
        <x:v>-84.51784386306456</x:v>
      </x:c>
      <x:c r="F11" s="61" t="n">
        <x:v>-2.0803972821305234</x:v>
      </x:c>
      <x:c r="G11" s="61" t="n">
        <x:v>-9.232903504596074</x:v>
      </x:c>
      <x:c r="H11" s="61" t="n">
        <x:v>-8.918801378351267</x:v>
      </x:c>
      <x:c r="I11" s="65" t="str">
        <x:v>Not separately reported</x:v>
      </x:c>
      <x:c r="J11" s="61" t="n">
        <x:v>59.04391899260057</x:v>
      </x:c>
      <x:c r="K11" s="62" t="n">
        <x:f>SUM(D11:J11)</x:f>
        <x:v>-17.307643646496473</x:v>
      </x:c>
      <x:c r="L11" s="67" t="n">
        <x:f>C11-K11</x:f>
        <x:v>2.6247245395137195</x:v>
      </x:c>
      <x:c r="M11" s="68" t="str">
        <x:v>07-PFOA_octanol_results_20260926.zip/00-2-octanol_redo/03_EDA/wb97x-d3/R4N+PFOA-_EDA/R4N+PFOA-_EDA.out</x:v>
      </x:c>
    </x:row>
    <x:row r="12" ht="32" hidden="0" customHeight="1">
      <x:c r="A12" s="15" t="str">
        <x:v>PFOA</x:v>
      </x:c>
      <x:c r="B12" s="16" t="str">
        <x:v>DVB-BTMA⁺ (water)</x:v>
      </x:c>
      <x:c r="C12" s="61" t="n">
        <x:v>-10.87544538358204</x:v>
      </x:c>
      <x:c r="D12" s="61" t="n">
        <x:v>24.16030839752144</x:v>
      </x:c>
      <x:c r="E12" s="61" t="n">
        <x:v>-95.5341054474086</x:v>
      </x:c>
      <x:c r="F12" s="61" t="n">
        <x:v>-1.2521507904471882</x:v>
      </x:c>
      <x:c r="G12" s="61" t="n">
        <x:v>-9.545061920245166</x:v>
      </x:c>
      <x:c r="H12" s="61" t="n">
        <x:v>-7.708979929733171</x:v>
      </x:c>
      <x:c r="I12" s="65" t="str">
        <x:v>Not separately reported</x:v>
      </x:c>
      <x:c r="J12" s="61" t="n">
        <x:v>60.80150055193032</x:v>
      </x:c>
      <x:c r="K12" s="62" t="n">
        <x:f>SUM(D12:J12)</x:f>
        <x:v>-29.07848913838238</x:v>
      </x:c>
      <x:c r="L12" s="67" t="n">
        <x:f>C12-K12</x:f>
        <x:v>18.20304375480034</x:v>
      </x:c>
      <x:c r="M12" s="68" t="str">
        <x:v>01_Calculations/02_Extended_Monomer/water/03_EDA/wb97x-d3/R4N+PFOA-_EDA/R4N+PFOA-_EDA.out</x:v>
      </x:c>
    </x:row>
    <x:row r="13" ht="32" hidden="0" customHeight="1">
      <x:c r="A13" s="15" t="str">
        <x:v>PFOS</x:v>
      </x:c>
      <x:c r="B13" s="16" t="str">
        <x:v>BTMA⁺ (r²SCAN-3c)</x:v>
      </x:c>
      <x:c r="C13" s="61" t="n">
        <x:v>-3.323353615511821</x:v>
      </x:c>
      <x:c r="D13" s="61" t="n">
        <x:v>5.491448107675531</x:v>
      </x:c>
      <x:c r="E13" s="61" t="n">
        <x:v>-86.46705570883621</x:v>
      </x:c>
      <x:c r="F13" s="61" t="n">
        <x:v>-0.5708766184696051</x:v>
      </x:c>
      <x:c r="G13" s="61" t="n">
        <x:v>-1.405996346923557</x:v>
      </x:c>
      <x:c r="H13" s="61" t="n">
        <x:v>-4.43810587279618</x:v>
      </x:c>
      <x:c r="I13" s="65" t="n">
        <x:v>0.118334167833235</x:v>
      </x:c>
      <x:c r="J13" s="61" t="n">
        <x:v>68.48391028726255</x:v>
      </x:c>
      <x:c r="K13" s="62" t="n">
        <x:f>SUM(D13:J13)</x:f>
        <x:v>-18.788341984254245</x:v>
      </x:c>
      <x:c r="L13" s="67" t="n">
        <x:f>C13-K13</x:f>
        <x:v>15.464988368742425</x:v>
      </x:c>
      <x:c r="M13" s="68" t="str">
        <x:v>01_Calculations/01_BTMA/03_EDA/r2scan-3c/R4N+PFOS-_r2/R4N+PFOS-_r2.out</x:v>
      </x:c>
    </x:row>
    <x:row r="14" ht="32" hidden="0" customHeight="1">
      <x:c r="A14" s="15" t="str">
        <x:v>PFOS</x:v>
      </x:c>
      <x:c r="B14" s="16" t="str">
        <x:v>BTMA⁺ (ωB97X-D3)</x:v>
      </x:c>
      <x:c r="C14" s="61" t="n">
        <x:v>-3.6644837043188607</x:v>
      </x:c>
      <x:c r="D14" s="61" t="n">
        <x:v>7.819482089070465</x:v>
      </x:c>
      <x:c r="E14" s="61" t="n">
        <x:v>-89.25119457490236</x:v>
      </x:c>
      <x:c r="F14" s="61" t="n">
        <x:v>-0.44446257589819876</x:v>
      </x:c>
      <x:c r="G14" s="61" t="n">
        <x:v>-2.7344628943192557</x:v>
      </x:c>
      <x:c r="H14" s="61" t="n">
        <x:v>-2.719334331161537</x:v>
      </x:c>
      <x:c r="I14" s="65" t="str">
        <x:v>Not separately reported</x:v>
      </x:c>
      <x:c r="J14" s="61" t="n">
        <x:v>68.33686730999001</x:v>
      </x:c>
      <x:c r="K14" s="62" t="n">
        <x:f>SUM(D14:J14)</x:f>
        <x:v>-18.993104977220867</x:v>
      </x:c>
      <x:c r="L14" s="67" t="n">
        <x:f>C14-K14</x:f>
        <x:v>15.328621272902005</x:v>
      </x:c>
      <x:c r="M14" s="68" t="str">
        <x:v>01_Calculations/01_BTMA/03_EDA/wb97x-d3/R4N+PFOS-_wb/R4N+PFOS-_wb.out</x:v>
      </x:c>
    </x:row>
    <x:row r="15" ht="32" hidden="0" customHeight="1">
      <x:c r="A15" s="15" t="str">
        <x:v>PFOS</x:v>
      </x:c>
      <x:c r="B15" s="16" t="str">
        <x:v>DVB-BTMA⁺ (water)</x:v>
      </x:c>
      <x:c r="C15" s="61" t="n">
        <x:v>-10.806317622156303</x:v>
      </x:c>
      <x:c r="D15" s="61" t="n">
        <x:v>27.541021461783604</x:v>
      </x:c>
      <x:c r="E15" s="61" t="n">
        <x:v>-68.597780038943</x:v>
      </x:c>
      <x:c r="F15" s="61" t="n">
        <x:v>-1.3492500376802632</x:v>
      </x:c>
      <x:c r="G15" s="61" t="n">
        <x:v>-10.791272078501995</x:v>
      </x:c>
      <x:c r="H15" s="61" t="n">
        <x:v>-9.126817254929213</x:v>
      </x:c>
      <x:c r="I15" s="65" t="str">
        <x:v>Not separately reported</x:v>
      </x:c>
      <x:c r="J15" s="61" t="n">
        <x:v>34.28094585267942</x:v>
      </x:c>
      <x:c r="K15" s="62" t="n">
        <x:f>SUM(D15:J15)</x:f>
        <x:v>-28.043152095591452</x:v>
      </x:c>
      <x:c r="L15" s="67" t="n">
        <x:f>C15-K15</x:f>
        <x:v>17.23683447343515</x:v>
      </x:c>
      <x:c r="M15" s="68" t="str">
        <x:v>01_Calculations/02_Extended_Monomer/water/03_EDA/wb97x-d3/R4N+PFOS-_EDA/R4N+PFOS-_EDA.out</x:v>
      </x:c>
    </x:row>
    <x:row r="16" ht="15" hidden="0" customHeight="1">
      <x:c r="A16" s="18"/>
      <x:c r="B16" s="19"/>
      <x:c r="C16" s="19"/>
      <x:c r="D16" s="19"/>
      <x:c r="E16" s="19"/>
      <x:c r="F16" s="19"/>
      <x:c r="G16" s="19"/>
      <x:c r="H16" s="19"/>
      <x:c r="I16" s="19"/>
      <x:c r="J16" s="19"/>
      <x:c r="K16" s="20"/>
    </x:row>
    <x:row r="18">
      <x:c r="A18" t="str">
        <x:v>Missing gCP is not zero. Component sums omit terms not separately printed. Bond minus sum is an unassigned residual.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78.44000244140625" hidden="0" customWidth="1"/>
    <x:col min="2" max="2" width="8.220000267028809" hidden="0" customWidth="1"/>
    <x:col min="3" max="3" width="14.109999656677246" hidden="0" customWidth="1"/>
  </x:cols>
  <x:sheetData>
    <x:row r="1" ht="15" hidden="0" customHeight="1">
      <x:c r="A1" s="21" t="str">
        <x:v>Table S4. Constrained PFOA/BTMA/chloride PES: xTB/ALPB(water); sampled minimum −133.643493975080 Eh</x:v>
      </x:c>
      <x:c r="B1" s="22"/>
      <x:c r="C1" s="23"/>
      <x:c r="D1"/>
    </x:row>
    <x:row r="2" ht="42" hidden="0" customHeight="1">
      <x:c r="A2" s="38" t="str">
        <x:v>PFOA carboxyl C–BTMA N (Å)</x:v>
      </x:c>
      <x:c r="B2" s="39" t="str">
        <x:v>BTMA N–Cl (Å)</x:v>
      </x:c>
      <x:c r="C2" s="40" t="str">
        <x:v>Energy above grid minimum (kcal/mol)</x:v>
      </x:c>
      <x:c r="D2" s="41" t="str">
        <x:v>Absolute xTB energy (Eh)</x:v>
      </x:c>
    </x:row>
    <x:row r="3" ht="15" hidden="0" customHeight="1">
      <x:c r="A3" s="15" t="n">
        <x:v>2.679</x:v>
      </x:c>
      <x:c r="B3" s="16" t="n">
        <x:v>4.631</x:v>
      </x:c>
      <x:c r="C3" s="17" t="n">
        <x:v>40.926162</x:v>
      </x:c>
      <x:c r="D3" t="n">
        <x:v>-133.57827399359</x:v>
      </x:c>
    </x:row>
    <x:row r="4" ht="15" hidden="0" customHeight="1">
      <x:c r="A4" s="15" t="n">
        <x:v>2.679</x:v>
      </x:c>
      <x:c r="B4" s="16" t="n">
        <x:v>5.408778</x:v>
      </x:c>
      <x:c r="C4" s="17" t="n">
        <x:v>42.428507</x:v>
      </x:c>
      <x:c r="D4" t="n">
        <x:v>-133.57587985272</x:v>
      </x:c>
    </x:row>
    <x:row r="5" ht="15" hidden="0" customHeight="1">
      <x:c r="A5" s="15" t="n">
        <x:v>2.679</x:v>
      </x:c>
      <x:c r="B5" s="16" t="n">
        <x:v>6.186556</x:v>
      </x:c>
      <x:c r="C5" s="17" t="n">
        <x:v>43.404968</x:v>
      </x:c>
      <x:c r="D5" t="n">
        <x:v>-133.57432375932</x:v>
      </x:c>
    </x:row>
    <x:row r="6" ht="15" hidden="0" customHeight="1">
      <x:c r="A6" s="15" t="n">
        <x:v>2.679</x:v>
      </x:c>
      <x:c r="B6" s="16" t="n">
        <x:v>6.964333</x:v>
      </x:c>
      <x:c r="C6" s="17" t="n">
        <x:v>43.111438</x:v>
      </x:c>
      <x:c r="D6" t="n">
        <x:v>-133.57479152964</x:v>
      </x:c>
    </x:row>
    <x:row r="7" ht="15" hidden="0" customHeight="1">
      <x:c r="A7" s="15" t="n">
        <x:v>2.679</x:v>
      </x:c>
      <x:c r="B7" s="16" t="n">
        <x:v>7.742111</x:v>
      </x:c>
      <x:c r="C7" s="17" t="n">
        <x:v>42.022201</x:v>
      </x:c>
      <x:c r="D7" t="n">
        <x:v>-133.57652733888</x:v>
      </x:c>
    </x:row>
    <x:row r="8" ht="15" hidden="0" customHeight="1">
      <x:c r="A8" s="15" t="n">
        <x:v>2.679</x:v>
      </x:c>
      <x:c r="B8" s="16" t="n">
        <x:v>8.519889</x:v>
      </x:c>
      <x:c r="C8" s="17" t="n">
        <x:v>41.219704</x:v>
      </x:c>
      <x:c r="D8" t="n">
        <x:v>-133.57780619788</x:v>
      </x:c>
    </x:row>
    <x:row r="9" ht="15" hidden="0" customHeight="1">
      <x:c r="A9" s="15" t="n">
        <x:v>2.679</x:v>
      </x:c>
      <x:c r="B9" s="16" t="n">
        <x:v>9.297667</x:v>
      </x:c>
      <x:c r="C9" s="17" t="n">
        <x:v>41.130108</x:v>
      </x:c>
      <x:c r="D9" t="n">
        <x:v>-133.57794898479</x:v>
      </x:c>
    </x:row>
    <x:row r="10" ht="15" hidden="0" customHeight="1">
      <x:c r="A10" s="15" t="n">
        <x:v>2.679</x:v>
      </x:c>
      <x:c r="B10" s="16" t="n">
        <x:v>10.075444</x:v>
      </x:c>
      <x:c r="C10" s="17" t="n">
        <x:v>41.517376</x:v>
      </x:c>
      <x:c r="D10" t="n">
        <x:v>-133.57733182701</x:v>
      </x:c>
    </x:row>
    <x:row r="11" ht="15" hidden="0" customHeight="1">
      <x:c r="A11" s="15" t="n">
        <x:v>2.679</x:v>
      </x:c>
      <x:c r="B11" s="16" t="n">
        <x:v>10.853222</x:v>
      </x:c>
      <x:c r="C11" s="17" t="n">
        <x:v>42.312123</x:v>
      </x:c>
      <x:c r="D11" t="n">
        <x:v>-133.57606531779</x:v>
      </x:c>
    </x:row>
    <x:row r="12" ht="15" hidden="0" customHeight="1">
      <x:c r="A12" s="15" t="n">
        <x:v>2.679</x:v>
      </x:c>
      <x:c r="B12" s="16" t="n">
        <x:v>11.631</x:v>
      </x:c>
      <x:c r="C12" s="17" t="n">
        <x:v>34.663611</x:v>
      </x:c>
      <x:c r="D12" t="n">
        <x:v>-133.58825399628</x:v>
      </x:c>
    </x:row>
    <x:row r="13" ht="15" hidden="0" customHeight="1">
      <x:c r="A13" s="15" t="n">
        <x:v>3.456778</x:v>
      </x:c>
      <x:c r="B13" s="16" t="n">
        <x:v>4.631</x:v>
      </x:c>
      <x:c r="C13" s="17" t="n">
        <x:v>8.41029</x:v>
      </x:c>
      <x:c r="D13" t="n">
        <x:v>-133.63009132792</x:v>
      </x:c>
    </x:row>
    <x:row r="14" ht="15" hidden="0" customHeight="1">
      <x:c r="A14" s="15" t="n">
        <x:v>3.456778</x:v>
      </x:c>
      <x:c r="B14" s="16" t="n">
        <x:v>5.408778</x:v>
      </x:c>
      <x:c r="C14" s="17" t="n">
        <x:v>9.930093</x:v>
      </x:c>
      <x:c r="D14" t="n">
        <x:v>-133.62766936725</x:v>
      </x:c>
    </x:row>
    <x:row r="15" ht="15" hidden="0" customHeight="1">
      <x:c r="A15" s="15" t="n">
        <x:v>3.456778</x:v>
      </x:c>
      <x:c r="B15" s="16" t="n">
        <x:v>6.186556</x:v>
      </x:c>
      <x:c r="C15" s="17" t="n">
        <x:v>10.58077</x:v>
      </x:c>
      <x:c r="D15" t="n">
        <x:v>-133.62663244588</x:v>
      </x:c>
    </x:row>
    <x:row r="16" ht="15" hidden="0" customHeight="1">
      <x:c r="A16" s="15" t="n">
        <x:v>3.456778</x:v>
      </x:c>
      <x:c r="B16" s="16" t="n">
        <x:v>6.964333</x:v>
      </x:c>
      <x:c r="C16" s="17" t="n">
        <x:v>10.130212</x:v>
      </x:c>
      <x:c r="D16" t="n">
        <x:v>-133.62735045952</x:v>
      </x:c>
    </x:row>
    <x:row r="17" ht="15" hidden="0" customHeight="1">
      <x:c r="A17" s="15" t="n">
        <x:v>3.456778</x:v>
      </x:c>
      <x:c r="B17" s="16" t="n">
        <x:v>7.742111</x:v>
      </x:c>
      <x:c r="C17" s="17" t="n">
        <x:v>10.656196</x:v>
      </x:c>
      <x:c r="D17" t="n">
        <x:v>-133.62651224831</x:v>
      </x:c>
    </x:row>
    <x:row r="18" ht="15" hidden="0" customHeight="1">
      <x:c r="A18" s="15" t="n">
        <x:v>3.456778</x:v>
      </x:c>
      <x:c r="B18" s="16" t="n">
        <x:v>8.519889</x:v>
      </x:c>
      <x:c r="C18" s="17" t="n">
        <x:v>11.361981</x:v>
      </x:c>
      <x:c r="D18" t="n">
        <x:v>-133.62538750575</x:v>
      </x:c>
    </x:row>
    <x:row r="19" ht="15" hidden="0" customHeight="1">
      <x:c r="A19" s="15" t="n">
        <x:v>3.456778</x:v>
      </x:c>
      <x:c r="B19" s="16" t="n">
        <x:v>9.297667</x:v>
      </x:c>
      <x:c r="C19" s="17" t="n">
        <x:v>10.296031</x:v>
      </x:c>
      <x:c r="D19" t="n">
        <x:v>-133.62708620757</x:v>
      </x:c>
    </x:row>
    <x:row r="20" ht="15" hidden="0" customHeight="1">
      <x:c r="A20" s="15" t="n">
        <x:v>3.456778</x:v>
      </x:c>
      <x:c r="B20" s="16" t="n">
        <x:v>10.075444</x:v>
      </x:c>
      <x:c r="C20" s="17" t="n">
        <x:v>10.510319</x:v>
      </x:c>
      <x:c r="D20" t="n">
        <x:v>-133.62674472431</x:v>
      </x:c>
    </x:row>
    <x:row r="21" ht="15" hidden="0" customHeight="1">
      <x:c r="A21" s="15" t="n">
        <x:v>3.456778</x:v>
      </x:c>
      <x:c r="B21" s="16" t="n">
        <x:v>10.853222</x:v>
      </x:c>
      <x:c r="C21" s="17" t="n">
        <x:v>8.466778</x:v>
      </x:c>
      <x:c r="D21" t="n">
        <x:v>-133.63000130749</x:v>
      </x:c>
    </x:row>
    <x:row r="22" ht="15" hidden="0" customHeight="1">
      <x:c r="A22" s="15" t="n">
        <x:v>3.456778</x:v>
      </x:c>
      <x:c r="B22" s="16" t="n">
        <x:v>11.631</x:v>
      </x:c>
      <x:c r="C22" s="17" t="n">
        <x:v>8.609085</x:v>
      </x:c>
      <x:c r="D22" t="n">
        <x:v>-133.62977453459</x:v>
      </x:c>
    </x:row>
    <x:row r="23" ht="15" hidden="0" customHeight="1">
      <x:c r="A23" s="15" t="n">
        <x:v>4.234556</x:v>
      </x:c>
      <x:c r="B23" s="16" t="n">
        <x:v>4.631</x:v>
      </x:c>
      <x:c r="C23" s="17" t="n">
        <x:v>3.174577</x:v>
      </x:c>
      <x:c r="D23" t="n">
        <x:v>-133.63843496506</x:v>
      </x:c>
    </x:row>
    <x:row r="24" ht="15" hidden="0" customHeight="1">
      <x:c r="A24" s="15" t="n">
        <x:v>4.234556</x:v>
      </x:c>
      <x:c r="B24" s="16" t="n">
        <x:v>5.408778</x:v>
      </x:c>
      <x:c r="C24" s="17" t="n">
        <x:v>3.871125</x:v>
      </x:c>
      <x:c r="D24" t="n">
        <x:v>-133.6373249486</x:v>
      </x:c>
    </x:row>
    <x:row r="25" ht="15" hidden="0" customHeight="1">
      <x:c r="A25" s="15" t="n">
        <x:v>4.234556</x:v>
      </x:c>
      <x:c r="B25" s="16" t="n">
        <x:v>6.186556</x:v>
      </x:c>
      <x:c r="C25" s="17" t="n">
        <x:v>1.813101</x:v>
      </x:c>
      <x:c r="D25" t="n">
        <x:v>-133.64060462077</x:v>
      </x:c>
    </x:row>
    <x:row r="26" ht="15" hidden="0" customHeight="1">
      <x:c r="A26" s="15" t="n">
        <x:v>4.234556</x:v>
      </x:c>
      <x:c r="B26" s="16" t="n">
        <x:v>6.964333</x:v>
      </x:c>
      <x:c r="C26" s="17" t="n">
        <x:v>1.711381</x:v>
      </x:c>
      <x:c r="D26" t="n">
        <x:v>-133.64076672201</x:v>
      </x:c>
    </x:row>
    <x:row r="27" ht="15" hidden="0" customHeight="1">
      <x:c r="A27" s="15" t="n">
        <x:v>4.234556</x:v>
      </x:c>
      <x:c r="B27" s="16" t="n">
        <x:v>7.742111</x:v>
      </x:c>
      <x:c r="C27" s="17" t="n">
        <x:v>1.541088</x:v>
      </x:c>
      <x:c r="D27" t="n">
        <x:v>-133.64103810311</x:v>
      </x:c>
    </x:row>
    <x:row r="28" ht="15" hidden="0" customHeight="1">
      <x:c r="A28" s="15" t="n">
        <x:v>4.234556</x:v>
      </x:c>
      <x:c r="B28" s="16" t="n">
        <x:v>8.519889</x:v>
      </x:c>
      <x:c r="C28" s="17" t="n">
        <x:v>0</x:v>
      </x:c>
      <x:c r="D28" t="n">
        <x:v>-133.64349397508</x:v>
      </x:c>
    </x:row>
    <x:row r="29" ht="15" hidden="0" customHeight="1">
      <x:c r="A29" s="15" t="n">
        <x:v>4.234556</x:v>
      </x:c>
      <x:c r="B29" s="16" t="n">
        <x:v>9.297667</x:v>
      </x:c>
      <x:c r="C29" s="17" t="n">
        <x:v>0.066516</x:v>
      </x:c>
      <x:c r="D29" t="n">
        <x:v>-133.64338797696</x:v>
      </x:c>
    </x:row>
    <x:row r="30" ht="15" hidden="0" customHeight="1">
      <x:c r="A30" s="15" t="n">
        <x:v>4.234556</x:v>
      </x:c>
      <x:c r="B30" s="16" t="n">
        <x:v>10.075444</x:v>
      </x:c>
      <x:c r="C30" s="17" t="n">
        <x:v>0.60608</x:v>
      </x:c>
      <x:c r="D30" t="n">
        <x:v>-133.64252813056</x:v>
      </x:c>
    </x:row>
    <x:row r="31" ht="15" hidden="0" customHeight="1">
      <x:c r="A31" s="15" t="n">
        <x:v>4.234556</x:v>
      </x:c>
      <x:c r="B31" s="16" t="n">
        <x:v>10.853222</x:v>
      </x:c>
      <x:c r="C31" s="17" t="n">
        <x:v>2.424063</x:v>
      </x:c>
      <x:c r="D31" t="n">
        <x:v>-133.63963098983</x:v>
      </x:c>
    </x:row>
    <x:row r="32" ht="15" hidden="0" customHeight="1">
      <x:c r="A32" s="15" t="n">
        <x:v>4.234556</x:v>
      </x:c>
      <x:c r="B32" s="16" t="n">
        <x:v>11.631</x:v>
      </x:c>
      <x:c r="C32" s="17" t="n">
        <x:v>2.297024</x:v>
      </x:c>
      <x:c r="D32" t="n">
        <x:v>-133.63983344223</x:v>
      </x:c>
    </x:row>
    <x:row r="33" ht="15" hidden="0" customHeight="1">
      <x:c r="A33" s="15" t="n">
        <x:v>5.012333</x:v>
      </x:c>
      <x:c r="B33" s="16" t="n">
        <x:v>4.631</x:v>
      </x:c>
      <x:c r="C33" s="17" t="n">
        <x:v>2.791852</x:v>
      </x:c>
      <x:c r="D33" t="n">
        <x:v>-133.63904488319</x:v>
      </x:c>
    </x:row>
    <x:row r="34" ht="15" hidden="0" customHeight="1">
      <x:c r="A34" s="15" t="n">
        <x:v>5.012333</x:v>
      </x:c>
      <x:c r="B34" s="16" t="n">
        <x:v>5.408778</x:v>
      </x:c>
      <x:c r="C34" s="17" t="n">
        <x:v>2.892875</x:v>
      </x:c>
      <x:c r="D34" t="n">
        <x:v>-133.63888388844</x:v>
      </x:c>
    </x:row>
    <x:row r="35" ht="15" hidden="0" customHeight="1">
      <x:c r="A35" s="15" t="n">
        <x:v>5.012333</x:v>
      </x:c>
      <x:c r="B35" s="16" t="n">
        <x:v>6.186556</x:v>
      </x:c>
      <x:c r="C35" s="17" t="n">
        <x:v>3.431868</x:v>
      </x:c>
      <x:c r="D35" t="n">
        <x:v>-133.6380249478</x:v>
      </x:c>
    </x:row>
    <x:row r="36" ht="15" hidden="0" customHeight="1">
      <x:c r="A36" s="15" t="n">
        <x:v>5.012333</x:v>
      </x:c>
      <x:c r="B36" s="16" t="n">
        <x:v>6.964333</x:v>
      </x:c>
      <x:c r="C36" s="17" t="n">
        <x:v>3.235734</x:v>
      </x:c>
      <x:c r="D36" t="n">
        <x:v>-133.63833751035</x:v>
      </x:c>
    </x:row>
    <x:row r="37" ht="15" hidden="0" customHeight="1">
      <x:c r="A37" s="15" t="n">
        <x:v>5.012333</x:v>
      </x:c>
      <x:c r="B37" s="16" t="n">
        <x:v>7.742111</x:v>
      </x:c>
      <x:c r="C37" s="17" t="n">
        <x:v>1.649233</x:v>
      </x:c>
      <x:c r="D37" t="n">
        <x:v>-133.64086576227</x:v>
      </x:c>
    </x:row>
    <x:row r="38" ht="15" hidden="0" customHeight="1">
      <x:c r="A38" s="15" t="n">
        <x:v>5.012333</x:v>
      </x:c>
      <x:c r="B38" s="16" t="n">
        <x:v>8.519889</x:v>
      </x:c>
      <x:c r="C38" s="17" t="n">
        <x:v>2.1098</x:v>
      </x:c>
      <x:c r="D38" t="n">
        <x:v>-133.64013180323</x:v>
      </x:c>
    </x:row>
    <x:row r="39" ht="15" hidden="0" customHeight="1">
      <x:c r="A39" s="15" t="n">
        <x:v>5.012333</x:v>
      </x:c>
      <x:c r="B39" s="16" t="n">
        <x:v>9.297667</x:v>
      </x:c>
      <x:c r="C39" s="17" t="n">
        <x:v>2.871941</x:v>
      </x:c>
      <x:c r="D39" t="n">
        <x:v>-133.63891725222</x:v>
      </x:c>
    </x:row>
    <x:row r="40" ht="15" hidden="0" customHeight="1">
      <x:c r="A40" s="15" t="n">
        <x:v>5.012333</x:v>
      </x:c>
      <x:c r="B40" s="16" t="n">
        <x:v>10.075444</x:v>
      </x:c>
      <x:c r="C40" s="17" t="n">
        <x:v>3.519136</x:v>
      </x:c>
      <x:c r="D40" t="n">
        <x:v>-133.6378858816</x:v>
      </x:c>
    </x:row>
    <x:row r="41" ht="15" hidden="0" customHeight="1">
      <x:c r="A41" s="15" t="n">
        <x:v>5.012333</x:v>
      </x:c>
      <x:c r="B41" s="16" t="n">
        <x:v>10.853222</x:v>
      </x:c>
      <x:c r="C41" s="17" t="n">
        <x:v>2.599376</x:v>
      </x:c>
      <x:c r="D41" t="n">
        <x:v>-133.63935161435</x:v>
      </x:c>
    </x:row>
    <x:row r="42" ht="15" hidden="0" customHeight="1">
      <x:c r="A42" s="15" t="n">
        <x:v>5.012333</x:v>
      </x:c>
      <x:c r="B42" s="16" t="n">
        <x:v>11.631</x:v>
      </x:c>
      <x:c r="C42" s="17" t="n">
        <x:v>3.745297</x:v>
      </x:c>
      <x:c r="D42" t="n">
        <x:v>-133.63752547495</x:v>
      </x:c>
    </x:row>
    <x:row r="43" ht="15" hidden="0" customHeight="1">
      <x:c r="A43" s="15" t="n">
        <x:v>5.790111</x:v>
      </x:c>
      <x:c r="B43" s="16" t="n">
        <x:v>4.631</x:v>
      </x:c>
      <x:c r="C43" s="17" t="n">
        <x:v>4.108788</x:v>
      </x:c>
      <x:c r="D43" t="n">
        <x:v>-133.63694621349</x:v>
      </x:c>
    </x:row>
    <x:row r="44" ht="15" hidden="0" customHeight="1">
      <x:c r="A44" s="15" t="n">
        <x:v>5.790111</x:v>
      </x:c>
      <x:c r="B44" s="16" t="n">
        <x:v>5.408778</x:v>
      </x:c>
      <x:c r="C44" s="17" t="n">
        <x:v>4.62856</x:v>
      </x:c>
      <x:c r="D44" t="n">
        <x:v>-133.63611789677</x:v>
      </x:c>
    </x:row>
    <x:row r="45" ht="15" hidden="0" customHeight="1">
      <x:c r="A45" s="15" t="n">
        <x:v>5.790111</x:v>
      </x:c>
      <x:c r="B45" s="16" t="n">
        <x:v>6.186556</x:v>
      </x:c>
      <x:c r="C45" s="17" t="n">
        <x:v>4.807061</x:v>
      </x:c>
      <x:c r="D45" t="n">
        <x:v>-133.63583343922</x:v>
      </x:c>
    </x:row>
    <x:row r="46" ht="15" hidden="0" customHeight="1">
      <x:c r="A46" s="15" t="n">
        <x:v>5.790111</x:v>
      </x:c>
      <x:c r="B46" s="16" t="n">
        <x:v>6.964333</x:v>
      </x:c>
      <x:c r="C46" s="17" t="n">
        <x:v>5.157274</x:v>
      </x:c>
      <x:c r="D46" t="n">
        <x:v>-133.63527534068</x:v>
      </x:c>
    </x:row>
    <x:row r="47" ht="15" hidden="0" customHeight="1">
      <x:c r="A47" s="15" t="n">
        <x:v>5.790111</x:v>
      </x:c>
      <x:c r="B47" s="16" t="n">
        <x:v>7.742111</x:v>
      </x:c>
      <x:c r="C47" s="17" t="n">
        <x:v>3.046659</x:v>
      </x:c>
      <x:c r="D47" t="n">
        <x:v>-133.63863881837</x:v>
      </x:c>
    </x:row>
    <x:row r="48" ht="15" hidden="0" customHeight="1">
      <x:c r="A48" s="15" t="n">
        <x:v>5.790111</x:v>
      </x:c>
      <x:c r="B48" s="16" t="n">
        <x:v>8.519889</x:v>
      </x:c>
      <x:c r="C48" s="17" t="n">
        <x:v>2.571308</x:v>
      </x:c>
      <x:c r="D48" t="n">
        <x:v>-133.63939634002</x:v>
      </x:c>
    </x:row>
    <x:row r="49" ht="15" hidden="0" customHeight="1">
      <x:c r="A49" s="15" t="n">
        <x:v>5.790111</x:v>
      </x:c>
      <x:c r="B49" s="16" t="n">
        <x:v>9.297667</x:v>
      </x:c>
      <x:c r="C49" s="17" t="n">
        <x:v>3.051284</x:v>
      </x:c>
      <x:c r="D49" t="n">
        <x:v>-133.63863145355</x:v>
      </x:c>
    </x:row>
    <x:row r="50" ht="15" hidden="0" customHeight="1">
      <x:c r="A50" s="15" t="n">
        <x:v>5.790111</x:v>
      </x:c>
      <x:c r="B50" s="16" t="n">
        <x:v>10.075444</x:v>
      </x:c>
      <x:c r="C50" s="17" t="n">
        <x:v>3.86057</x:v>
      </x:c>
      <x:c r="D50" t="n">
        <x:v>-133.63734177458</x:v>
      </x:c>
    </x:row>
    <x:row r="51" ht="15" hidden="0" customHeight="1">
      <x:c r="A51" s="15" t="n">
        <x:v>5.790111</x:v>
      </x:c>
      <x:c r="B51" s="16" t="n">
        <x:v>10.853222</x:v>
      </x:c>
      <x:c r="C51" s="17" t="n">
        <x:v>4.863035</x:v>
      </x:c>
      <x:c r="D51" t="n">
        <x:v>-133.63574424214</x:v>
      </x:c>
    </x:row>
    <x:row r="52" ht="15" hidden="0" customHeight="1">
      <x:c r="A52" s="15" t="n">
        <x:v>5.790111</x:v>
      </x:c>
      <x:c r="B52" s="16" t="n">
        <x:v>11.631</x:v>
      </x:c>
      <x:c r="C52" s="17" t="n">
        <x:v>1.277559</x:v>
      </x:c>
      <x:c r="D52" t="n">
        <x:v>-133.64145805533</x:v>
      </x:c>
    </x:row>
    <x:row r="53" ht="15" hidden="0" customHeight="1">
      <x:c r="A53" s="15" t="n">
        <x:v>6.567889</x:v>
      </x:c>
      <x:c r="B53" s="16" t="n">
        <x:v>4.631</x:v>
      </x:c>
      <x:c r="C53" s="17" t="n">
        <x:v>4.137873</x:v>
      </x:c>
      <x:c r="D53" t="n">
        <x:v>-133.63689986325</x:v>
      </x:c>
    </x:row>
    <x:row r="54" ht="15" hidden="0" customHeight="1">
      <x:c r="A54" s="15" t="n">
        <x:v>6.567889</x:v>
      </x:c>
      <x:c r="B54" s="16" t="n">
        <x:v>5.408778</x:v>
      </x:c>
      <x:c r="C54" s="17" t="n">
        <x:v>6.24675</x:v>
      </x:c>
      <x:c r="D54" t="n">
        <x:v>-133.63353914589</x:v>
      </x:c>
    </x:row>
    <x:row r="55" ht="15" hidden="0" customHeight="1">
      <x:c r="A55" s="15" t="n">
        <x:v>6.567889</x:v>
      </x:c>
      <x:c r="B55" s="16" t="n">
        <x:v>6.186556</x:v>
      </x:c>
      <x:c r="C55" s="17" t="n">
        <x:v>6.890732</x:v>
      </x:c>
      <x:c r="D55" t="n">
        <x:v>-133.63251290479</x:v>
      </x:c>
    </x:row>
    <x:row r="56" ht="15" hidden="0" customHeight="1">
      <x:c r="A56" s="15" t="n">
        <x:v>6.567889</x:v>
      </x:c>
      <x:c r="B56" s="16" t="n">
        <x:v>6.964333</x:v>
      </x:c>
      <x:c r="C56" s="17" t="n">
        <x:v>5.895452</x:v>
      </x:c>
      <x:c r="D56" t="n">
        <x:v>-133.63409898171</x:v>
      </x:c>
    </x:row>
    <x:row r="57" ht="15" hidden="0" customHeight="1">
      <x:c r="A57" s="15" t="n">
        <x:v>6.567889</x:v>
      </x:c>
      <x:c r="B57" s="16" t="n">
        <x:v>7.742111</x:v>
      </x:c>
      <x:c r="C57" s="17" t="n">
        <x:v>4.731585</x:v>
      </x:c>
      <x:c r="D57" t="n">
        <x:v>-133.63595372346</x:v>
      </x:c>
    </x:row>
    <x:row r="58" ht="15" hidden="0" customHeight="1">
      <x:c r="A58" s="15" t="n">
        <x:v>6.567889</x:v>
      </x:c>
      <x:c r="B58" s="16" t="n">
        <x:v>8.519889</x:v>
      </x:c>
      <x:c r="C58" s="17" t="n">
        <x:v>3.497299</x:v>
      </x:c>
      <x:c r="D58" t="n">
        <x:v>-133.63792068242</x:v>
      </x:c>
    </x:row>
    <x:row r="59" ht="15" hidden="0" customHeight="1">
      <x:c r="A59" s="15" t="n">
        <x:v>6.567889</x:v>
      </x:c>
      <x:c r="B59" s="16" t="n">
        <x:v>9.297667</x:v>
      </x:c>
      <x:c r="C59" s="17" t="n">
        <x:v>4.209447</x:v>
      </x:c>
      <x:c r="D59" t="n">
        <x:v>-133.63678580039</x:v>
      </x:c>
    </x:row>
    <x:row r="60" ht="15" hidden="0" customHeight="1">
      <x:c r="A60" s="15" t="n">
        <x:v>6.567889</x:v>
      </x:c>
      <x:c r="B60" s="16" t="n">
        <x:v>10.075444</x:v>
      </x:c>
      <x:c r="C60" s="17" t="n">
        <x:v>5.267365</x:v>
      </x:c>
      <x:c r="D60" t="n">
        <x:v>-133.63509989723</x:v>
      </x:c>
    </x:row>
    <x:row r="61" ht="15" hidden="0" customHeight="1">
      <x:c r="A61" s="15" t="n">
        <x:v>6.567889</x:v>
      </x:c>
      <x:c r="B61" s="16" t="n">
        <x:v>10.853222</x:v>
      </x:c>
      <x:c r="C61" s="17" t="n">
        <x:v>6.302981</x:v>
      </x:c>
      <x:c r="D61" t="n">
        <x:v>-133.63344954309</x:v>
      </x:c>
    </x:row>
    <x:row r="62" ht="15" hidden="0" customHeight="1">
      <x:c r="A62" s="15" t="n">
        <x:v>6.567889</x:v>
      </x:c>
      <x:c r="B62" s="16" t="n">
        <x:v>11.631</x:v>
      </x:c>
      <x:c r="C62" s="17" t="n">
        <x:v>5.603139</x:v>
      </x:c>
      <x:c r="D62" t="n">
        <x:v>-133.63456480533</x:v>
      </x:c>
    </x:row>
    <x:row r="63" ht="15" hidden="0" customHeight="1">
      <x:c r="A63" s="15" t="n">
        <x:v>7.345667</x:v>
      </x:c>
      <x:c r="B63" s="16" t="n">
        <x:v>4.631</x:v>
      </x:c>
      <x:c r="C63" s="17" t="n">
        <x:v>4.838694</x:v>
      </x:c>
      <x:c r="D63" t="n">
        <x:v>-133.63578303194</x:v>
      </x:c>
    </x:row>
    <x:row r="64" ht="15" hidden="0" customHeight="1">
      <x:c r="A64" s="15" t="n">
        <x:v>7.345667</x:v>
      </x:c>
      <x:c r="B64" s="16" t="n">
        <x:v>5.408778</x:v>
      </x:c>
      <x:c r="C64" s="17" t="n">
        <x:v>6.683917</x:v>
      </x:c>
      <x:c r="D64" t="n">
        <x:v>-133.63284247878</x:v>
      </x:c>
    </x:row>
    <x:row r="65" ht="15" hidden="0" customHeight="1">
      <x:c r="A65" s="15" t="n">
        <x:v>7.345667</x:v>
      </x:c>
      <x:c r="B65" s="16" t="n">
        <x:v>6.186556</x:v>
      </x:c>
      <x:c r="C65" s="17" t="n">
        <x:v>7.802603</x:v>
      </x:c>
      <x:c r="D65" t="n">
        <x:v>-133.63105974364</x:v>
      </x:c>
    </x:row>
    <x:row r="66" ht="15" hidden="0" customHeight="1">
      <x:c r="A66" s="15" t="n">
        <x:v>7.345667</x:v>
      </x:c>
      <x:c r="B66" s="16" t="n">
        <x:v>6.964333</x:v>
      </x:c>
      <x:c r="C66" s="17" t="n">
        <x:v>7.518455</x:v>
      </x:c>
      <x:c r="D66" t="n">
        <x:v>-133.63151256428</x:v>
      </x:c>
    </x:row>
    <x:row r="67" ht="15" hidden="0" customHeight="1">
      <x:c r="A67" s="15" t="n">
        <x:v>7.345667</x:v>
      </x:c>
      <x:c r="B67" s="16" t="n">
        <x:v>7.742111</x:v>
      </x:c>
      <x:c r="C67" s="17" t="n">
        <x:v>7.306018</x:v>
      </x:c>
      <x:c r="D67" t="n">
        <x:v>-133.63185110113</x:v>
      </x:c>
    </x:row>
    <x:row r="68" ht="15" hidden="0" customHeight="1">
      <x:c r="A68" s="15" t="n">
        <x:v>7.345667</x:v>
      </x:c>
      <x:c r="B68" s="16" t="n">
        <x:v>8.519889</x:v>
      </x:c>
      <x:c r="C68" s="17" t="n">
        <x:v>5.380373</x:v>
      </x:c>
      <x:c r="D68" t="n">
        <x:v>-133.63491980902</x:v>
      </x:c>
    </x:row>
    <x:row r="69" ht="15" hidden="0" customHeight="1">
      <x:c r="A69" s="15" t="n">
        <x:v>7.345667</x:v>
      </x:c>
      <x:c r="B69" s="16" t="n">
        <x:v>9.297667</x:v>
      </x:c>
      <x:c r="C69" s="17" t="n">
        <x:v>5.965996</x:v>
      </x:c>
      <x:c r="D69" t="n">
        <x:v>-133.63398655902</x:v>
      </x:c>
    </x:row>
    <x:row r="70" ht="15" hidden="0" customHeight="1">
      <x:c r="A70" s="15" t="n">
        <x:v>7.345667</x:v>
      </x:c>
      <x:c r="B70" s="16" t="n">
        <x:v>10.075444</x:v>
      </x:c>
      <x:c r="C70" s="17" t="n">
        <x:v>7.172214</x:v>
      </x:c>
      <x:c r="D70" t="n">
        <x:v>-133.63206433337</x:v>
      </x:c>
    </x:row>
    <x:row r="71" ht="15" hidden="0" customHeight="1">
      <x:c r="A71" s="15" t="n">
        <x:v>7.345667</x:v>
      </x:c>
      <x:c r="B71" s="16" t="n">
        <x:v>10.853222</x:v>
      </x:c>
      <x:c r="C71" s="17" t="n">
        <x:v>6.996561</x:v>
      </x:c>
      <x:c r="D71" t="n">
        <x:v>-133.63234425111</x:v>
      </x:c>
    </x:row>
    <x:row r="72" ht="15" hidden="0" customHeight="1">
      <x:c r="A72" s="15" t="n">
        <x:v>7.345667</x:v>
      </x:c>
      <x:c r="B72" s="16" t="n">
        <x:v>11.631</x:v>
      </x:c>
      <x:c r="C72" s="17" t="n">
        <x:v>7.190625</x:v>
      </x:c>
      <x:c r="D72" t="n">
        <x:v>-133.63203499185</x:v>
      </x:c>
    </x:row>
    <x:row r="73" ht="15" hidden="0" customHeight="1">
      <x:c r="A73" s="15" t="n">
        <x:v>8.123444</x:v>
      </x:c>
      <x:c r="B73" s="16" t="n">
        <x:v>4.631</x:v>
      </x:c>
      <x:c r="C73" s="17" t="n">
        <x:v>4.365985</x:v>
      </x:c>
      <x:c r="D73" t="n">
        <x:v>-133.63653633834</x:v>
      </x:c>
    </x:row>
    <x:row r="74" ht="15" hidden="0" customHeight="1">
      <x:c r="A74" s="15" t="n">
        <x:v>8.123444</x:v>
      </x:c>
      <x:c r="B74" s="16" t="n">
        <x:v>5.408778</x:v>
      </x:c>
      <x:c r="C74" s="17" t="n">
        <x:v>6.803709</x:v>
      </x:c>
      <x:c r="D74" t="n">
        <x:v>-133.63265157506</x:v>
      </x:c>
    </x:row>
    <x:row r="75" ht="15" hidden="0" customHeight="1">
      <x:c r="A75" s="15" t="n">
        <x:v>8.123444</x:v>
      </x:c>
      <x:c r="B75" s="16" t="n">
        <x:v>6.186556</x:v>
      </x:c>
      <x:c r="C75" s="17" t="n">
        <x:v>8.889701</x:v>
      </x:c>
      <x:c r="D75" t="n">
        <x:v>-133.62932734397</x:v>
      </x:c>
    </x:row>
    <x:row r="76" ht="15" hidden="0" customHeight="1">
      <x:c r="A76" s="15" t="n">
        <x:v>8.123444</x:v>
      </x:c>
      <x:c r="B76" s="16" t="n">
        <x:v>6.964333</x:v>
      </x:c>
      <x:c r="C76" s="17" t="n">
        <x:v>8.11349</x:v>
      </x:c>
      <x:c r="D76" t="n">
        <x:v>-133.63056431311</x:v>
      </x:c>
    </x:row>
    <x:row r="77" ht="15" hidden="0" customHeight="1">
      <x:c r="A77" s="15" t="n">
        <x:v>8.123444</x:v>
      </x:c>
      <x:c r="B77" s="16" t="n">
        <x:v>7.742111</x:v>
      </x:c>
      <x:c r="C77" s="17" t="n">
        <x:v>7.625959</x:v>
      </x:c>
      <x:c r="D77" t="n">
        <x:v>-133.63134123876</x:v>
      </x:c>
    </x:row>
    <x:row r="78" ht="15" hidden="0" customHeight="1">
      <x:c r="A78" s="15" t="n">
        <x:v>8.123444</x:v>
      </x:c>
      <x:c r="B78" s="16" t="n">
        <x:v>8.519889</x:v>
      </x:c>
      <x:c r="C78" s="17" t="n">
        <x:v>5.601852</x:v>
      </x:c>
      <x:c r="D78" t="n">
        <x:v>-133.6345668577</x:v>
      </x:c>
    </x:row>
    <x:row r="79" ht="15" hidden="0" customHeight="1">
      <x:c r="A79" s="15" t="n">
        <x:v>8.123444</x:v>
      </x:c>
      <x:c r="B79" s="16" t="n">
        <x:v>9.297667</x:v>
      </x:c>
      <x:c r="C79" s="17" t="n">
        <x:v>5.634069</x:v>
      </x:c>
      <x:c r="D79" t="n">
        <x:v>-133.63451551546</x:v>
      </x:c>
    </x:row>
    <x:row r="80" ht="15" hidden="0" customHeight="1">
      <x:c r="A80" s="15" t="n">
        <x:v>8.123444</x:v>
      </x:c>
      <x:c r="B80" s="16" t="n">
        <x:v>10.075444</x:v>
      </x:c>
      <x:c r="C80" s="17" t="n">
        <x:v>6.765744</x:v>
      </x:c>
      <x:c r="D80" t="n">
        <x:v>-133.63271208126</x:v>
      </x:c>
    </x:row>
    <x:row r="81" ht="15" hidden="0" customHeight="1">
      <x:c r="A81" s="15" t="n">
        <x:v>8.123444</x:v>
      </x:c>
      <x:c r="B81" s="16" t="n">
        <x:v>10.853222</x:v>
      </x:c>
      <x:c r="C81" s="17" t="n">
        <x:v>6.771819</x:v>
      </x:c>
      <x:c r="D81" t="n">
        <x:v>-133.63270239755</x:v>
      </x:c>
    </x:row>
    <x:row r="82" ht="15" hidden="0" customHeight="1">
      <x:c r="A82" s="15" t="n">
        <x:v>8.123444</x:v>
      </x:c>
      <x:c r="B82" s="16" t="n">
        <x:v>11.631</x:v>
      </x:c>
      <x:c r="C82" s="17" t="n">
        <x:v>7.613987</x:v>
      </x:c>
      <x:c r="D82" t="n">
        <x:v>-133.63136031905</x:v>
      </x:c>
    </x:row>
    <x:row r="83" ht="15" hidden="0" customHeight="1">
      <x:c r="A83" s="15" t="n">
        <x:v>8.901222</x:v>
      </x:c>
      <x:c r="B83" s="16" t="n">
        <x:v>4.631</x:v>
      </x:c>
      <x:c r="C83" s="17" t="n">
        <x:v>5.065413</x:v>
      </x:c>
      <x:c r="D83" t="n">
        <x:v>-133.63542172636</x:v>
      </x:c>
    </x:row>
    <x:row r="84" ht="15" hidden="0" customHeight="1">
      <x:c r="A84" s="15" t="n">
        <x:v>8.901222</x:v>
      </x:c>
      <x:c r="B84" s="16" t="n">
        <x:v>5.408778</x:v>
      </x:c>
      <x:c r="C84" s="17" t="n">
        <x:v>6.779713</x:v>
      </x:c>
      <x:c r="D84" t="n">
        <x:v>-133.6326898231</x:v>
      </x:c>
    </x:row>
    <x:row r="85" ht="15" hidden="0" customHeight="1">
      <x:c r="A85" s="15" t="n">
        <x:v>8.901222</x:v>
      </x:c>
      <x:c r="B85" s="16" t="n">
        <x:v>6.186556</x:v>
      </x:c>
      <x:c r="C85" s="17" t="n">
        <x:v>7.932241</x:v>
      </x:c>
      <x:c r="D85" t="n">
        <x:v>-133.63085314727</x:v>
      </x:c>
    </x:row>
    <x:row r="86" ht="15" hidden="0" customHeight="1">
      <x:c r="A86" s="15" t="n">
        <x:v>8.901222</x:v>
      </x:c>
      <x:c r="B86" s="16" t="n">
        <x:v>6.964333</x:v>
      </x:c>
      <x:c r="C86" s="17" t="n">
        <x:v>8.743271</x:v>
      </x:c>
      <x:c r="D86" t="n">
        <x:v>-133.62956069436</x:v>
      </x:c>
    </x:row>
    <x:row r="87" ht="15" hidden="0" customHeight="1">
      <x:c r="A87" s="15" t="n">
        <x:v>8.901222</x:v>
      </x:c>
      <x:c r="B87" s="16" t="n">
        <x:v>7.742111</x:v>
      </x:c>
      <x:c r="C87" s="17" t="n">
        <x:v>8.419828</x:v>
      </x:c>
      <x:c r="D87" t="n">
        <x:v>-133.63007613172</x:v>
      </x:c>
    </x:row>
    <x:row r="88" ht="15" hidden="0" customHeight="1">
      <x:c r="A88" s="15" t="n">
        <x:v>8.901222</x:v>
      </x:c>
      <x:c r="B88" s="16" t="n">
        <x:v>8.519889</x:v>
      </x:c>
      <x:c r="C88" s="17" t="n">
        <x:v>7.420419</x:v>
      </x:c>
      <x:c r="D88" t="n">
        <x:v>-133.63166878909</x:v>
      </x:c>
    </x:row>
    <x:row r="89" ht="15" hidden="0" customHeight="1">
      <x:c r="A89" s="15" t="n">
        <x:v>8.901222</x:v>
      </x:c>
      <x:c r="B89" s="16" t="n">
        <x:v>9.297667</x:v>
      </x:c>
      <x:c r="C89" s="17" t="n">
        <x:v>8.054341</x:v>
      </x:c>
      <x:c r="D89" t="n">
        <x:v>-133.63065857311</x:v>
      </x:c>
    </x:row>
    <x:row r="90" ht="15" hidden="0" customHeight="1">
      <x:c r="A90" s="15" t="n">
        <x:v>8.901222</x:v>
      </x:c>
      <x:c r="B90" s="16" t="n">
        <x:v>10.075444</x:v>
      </x:c>
      <x:c r="C90" s="17" t="n">
        <x:v>6.170451</x:v>
      </x:c>
      <x:c r="D90" t="n">
        <x:v>-133.63366073596</x:v>
      </x:c>
    </x:row>
    <x:row r="91" ht="15" hidden="0" customHeight="1">
      <x:c r="A91" s="15" t="n">
        <x:v>8.901222</x:v>
      </x:c>
      <x:c r="B91" s="16" t="n">
        <x:v>10.853222</x:v>
      </x:c>
      <x:c r="C91" s="17" t="n">
        <x:v>6.723827</x:v>
      </x:c>
      <x:c r="D91" t="n">
        <x:v>-133.63277888397</x:v>
      </x:c>
    </x:row>
    <x:row r="92" ht="15" hidden="0" customHeight="1">
      <x:c r="A92" s="15" t="n">
        <x:v>8.901222</x:v>
      </x:c>
      <x:c r="B92" s="16" t="n">
        <x:v>11.631</x:v>
      </x:c>
      <x:c r="C92" s="17" t="n">
        <x:v>7.719214</x:v>
      </x:c>
      <x:c r="D92" t="n">
        <x:v>-133.63119263263</x:v>
      </x:c>
    </x:row>
    <x:row r="93" ht="15" hidden="0" customHeight="1">
      <x:c r="A93" s="15" t="n">
        <x:v>9.679</x:v>
      </x:c>
      <x:c r="B93" s="16" t="n">
        <x:v>4.631</x:v>
      </x:c>
      <x:c r="C93" s="17" t="n">
        <x:v>5.906897</x:v>
      </x:c>
      <x:c r="D93" t="n">
        <x:v>-133.63408073565</x:v>
      </x:c>
    </x:row>
    <x:row r="94" ht="15" hidden="0" customHeight="1">
      <x:c r="A94" s="15" t="n">
        <x:v>9.679</x:v>
      </x:c>
      <x:c r="B94" s="16" t="n">
        <x:v>5.408778</x:v>
      </x:c>
      <x:c r="C94" s="17" t="n">
        <x:v>7.521956</x:v>
      </x:c>
      <x:c r="D94" t="n">
        <x:v>-133.63150697989</x:v>
      </x:c>
    </x:row>
    <x:row r="95" ht="15" hidden="0" customHeight="1">
      <x:c r="A95" s="15" t="n">
        <x:v>9.679</x:v>
      </x:c>
      <x:c r="B95" s="16" t="n">
        <x:v>6.186556</x:v>
      </x:c>
      <x:c r="C95" s="17" t="n">
        <x:v>8.181418</x:v>
      </x:c>
      <x:c r="D95" t="n">
        <x:v>-133.63045606274</x:v>
      </x:c>
    </x:row>
    <x:row r="96" ht="15" hidden="0" customHeight="1">
      <x:c r="A96" s="15" t="n">
        <x:v>9.679</x:v>
      </x:c>
      <x:c r="B96" s="16" t="n">
        <x:v>6.964333</x:v>
      </x:c>
      <x:c r="C96" s="17" t="n">
        <x:v>8.228456</x:v>
      </x:c>
      <x:c r="D96" t="n">
        <x:v>-133.63038110024</x:v>
      </x:c>
    </x:row>
    <x:row r="97" ht="15" hidden="0" customHeight="1">
      <x:c r="A97" s="15" t="n">
        <x:v>9.679</x:v>
      </x:c>
      <x:c r="B97" s="16" t="n">
        <x:v>7.742111</x:v>
      </x:c>
      <x:c r="C97" s="17" t="n">
        <x:v>8.21664</x:v>
      </x:c>
      <x:c r="D97" t="n">
        <x:v>-133.63039993498</x:v>
      </x:c>
    </x:row>
    <x:row r="98" ht="15" hidden="0" customHeight="1">
      <x:c r="A98" s="15" t="n">
        <x:v>9.679</x:v>
      </x:c>
      <x:c r="B98" s="16" t="n">
        <x:v>8.519889</x:v>
      </x:c>
      <x:c r="C98" s="17" t="n">
        <x:v>7.096969</x:v>
      </x:c>
      <x:c r="D98" t="n">
        <x:v>-133.63218424109</x:v>
      </x:c>
    </x:row>
    <x:row r="99" ht="15" hidden="0" customHeight="1">
      <x:c r="A99" s="15" t="n">
        <x:v>9.679</x:v>
      </x:c>
      <x:c r="B99" s="16" t="n">
        <x:v>9.297667</x:v>
      </x:c>
      <x:c r="C99" s="17" t="n">
        <x:v>8.311796</x:v>
      </x:c>
      <x:c r="D99" t="n">
        <x:v>-133.63024829497</x:v>
      </x:c>
    </x:row>
    <x:row r="100" ht="15" hidden="0" customHeight="1">
      <x:c r="A100" s="15" t="n">
        <x:v>9.679</x:v>
      </x:c>
      <x:c r="B100" s="16" t="n">
        <x:v>10.075444</x:v>
      </x:c>
      <x:c r="C100" s="17" t="n">
        <x:v>8.575952</x:v>
      </x:c>
      <x:c r="D100" t="n">
        <x:v>-133.62982733349</x:v>
      </x:c>
    </x:row>
    <x:row r="101" ht="15" hidden="0" customHeight="1">
      <x:c r="A101" s="15" t="n">
        <x:v>9.679</x:v>
      </x:c>
      <x:c r="B101" s="16" t="n">
        <x:v>10.853222</x:v>
      </x:c>
      <x:c r="C101" s="17" t="n">
        <x:v>8.334556</x:v>
      </x:c>
      <x:c r="D101" t="n">
        <x:v>-133.63021202387</x:v>
      </x:c>
    </x:row>
    <x:row r="102" ht="15" hidden="0" customHeight="1">
      <x:c r="A102" s="18" t="n">
        <x:v>9.679</x:v>
      </x:c>
      <x:c r="B102" s="19" t="n">
        <x:v>11.631</x:v>
      </x:c>
      <x:c r="C102" s="20" t="n">
        <x:v>8.572376</x:v>
      </x:c>
      <x:c r="D102" t="n">
        <x:v>-133.62983302573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85" hidden="0" customWidth="1"/>
    <x:col min="4" max="4" width="52.220001220703125" hidden="0" customWidth="1"/>
  </x:cols>
  <x:sheetData>
    <x:row r="1" ht="15" hidden="0" customHeight="1">
      <x:c r="A1" s="21" t="str">
        <x:v>Table S5a. pVBTMA12 model and solvated PFOA-associated system definition</x:v>
      </x:c>
      <x:c r="B1" s="22"/>
      <x:c r="C1" s="22"/>
      <x:c r="D1" s="23"/>
    </x:row>
    <x:row r="2" ht="15" hidden="0" customHeight="1">
      <x:c r="A2" s="24" t="str">
        <x:v>Category</x:v>
      </x:c>
      <x:c r="B2" s="25" t="str">
        <x:v>Property</x:v>
      </x:c>
      <x:c r="C2" s="25" t="str">
        <x:v>Value</x:v>
      </x:c>
      <x:c r="D2" s="26" t="str">
        <x:v>Units or definition</x:v>
      </x:c>
    </x:row>
    <x:row r="3" ht="15" hidden="0" customHeight="1">
      <x:c r="A3" s="15" t="str">
        <x:v>Polymer model</x:v>
      </x:c>
      <x:c r="B3" s="16" t="str">
        <x:v>Name</x:v>
      </x:c>
      <x:c r="C3" s="16" t="str">
        <x:v>pVBTMA12</x:v>
      </x:c>
      <x:c r="D3" s="17" t="str">
        <x:v>Hydrogen-capped 12-unit poly(vinylbenzyltrimethylammonium) segment</x:v>
      </x:c>
    </x:row>
    <x:row r="4" ht="15" hidden="0" customHeight="1">
      <x:c r="A4" s="15" t="str">
        <x:v>Polymer model</x:v>
      </x:c>
      <x:c r="B4" s="16" t="str">
        <x:v>Formula</x:v>
      </x:c>
      <x:c r="C4" s="16" t="str">
        <x:v>C144H218N12</x:v>
      </x:c>
      <x:c r="D4" s="17"/>
    </x:row>
    <x:row r="5" ht="15" hidden="0" customHeight="1">
      <x:c r="A5" s="15" t="str">
        <x:v>Polymer model</x:v>
      </x:c>
      <x:c r="B5" s="16" t="str">
        <x:v>Formal charge</x:v>
      </x:c>
      <x:c r="C5" s="16" t="n">
        <x:v>12</x:v>
      </x:c>
      <x:c r="D5" s="17" t="str">
        <x:v>elementary charge</x:v>
      </x:c>
    </x:row>
    <x:row r="6" ht="15" hidden="0" customHeight="1">
      <x:c r="A6" s="15" t="str">
        <x:v>Polymer model</x:v>
      </x:c>
      <x:c r="B6" s="16" t="str">
        <x:v>Atoms</x:v>
      </x:c>
      <x:c r="C6" s="16" t="n">
        <x:v>374</x:v>
      </x:c>
      <x:c r="D6" s="17" t="str">
        <x:v>atoms</x:v>
      </x:c>
    </x:row>
    <x:row r="7" ht="15" hidden="0" customHeight="1">
      <x:c r="A7" s="15" t="str">
        <x:v>Polymer model</x:v>
      </x:c>
      <x:c r="B7" s="16" t="str">
        <x:v>Heavy atoms</x:v>
      </x:c>
      <x:c r="C7" s="16" t="n">
        <x:v>156</x:v>
      </x:c>
      <x:c r="D7" s="17" t="str">
        <x:v>atoms</x:v>
      </x:c>
    </x:row>
    <x:row r="8" ht="15" hidden="0" customHeight="1">
      <x:c r="A8" s="15" t="str">
        <x:v>Polymer model</x:v>
      </x:c>
      <x:c r="B8" s="16" t="str">
        <x:v>Bonds</x:v>
      </x:c>
      <x:c r="C8" s="16" t="n">
        <x:v>385</x:v>
      </x:c>
      <x:c r="D8" s="17" t="str">
        <x:v>bonds</x:v>
      </x:c>
    </x:row>
    <x:row r="9" ht="15" hidden="0" customHeight="1">
      <x:c r="A9" s="15" t="str">
        <x:v>Polymer model</x:v>
      </x:c>
      <x:c r="B9" s="16" t="str">
        <x:v>Quaternary ammonium sites</x:v>
      </x:c>
      <x:c r="C9" s="16" t="n">
        <x:v>12</x:v>
      </x:c>
      <x:c r="D9" s="17" t="str">
        <x:v>sites</x:v>
      </x:c>
    </x:row>
    <x:row r="10" ht="15" hidden="0" customHeight="1">
      <x:c r="A10" s="15" t="str">
        <x:v>Polymer model</x:v>
      </x:c>
      <x:c r="B10" s="16" t="str">
        <x:v>Aromatic rings</x:v>
      </x:c>
      <x:c r="C10" s="16" t="n">
        <x:v>12</x:v>
      </x:c>
      <x:c r="D10" s="17" t="str">
        <x:v>rings</x:v>
      </x:c>
    </x:row>
    <x:row r="11" ht="15" hidden="0" customHeight="1">
      <x:c r="A11" s="15" t="str">
        <x:v>Polymer model</x:v>
      </x:c>
      <x:c r="B11" s="16" t="str">
        <x:v>Assigned backbone stereocenters</x:v>
      </x:c>
      <x:c r="C11" s="16" t="n">
        <x:v>11</x:v>
      </x:c>
      <x:c r="D11" s="17" t="str">
        <x:v>stereocenters</x:v>
      </x:c>
    </x:row>
    <x:row r="12" ht="15" hidden="0" customHeight="1">
      <x:c r="A12" s="15" t="str">
        <x:v>Charge model</x:v>
      </x:c>
      <x:c r="B12" s="16" t="str">
        <x:v>AM1-BCC source oligomer</x:v>
      </x:c>
      <x:c r="C12" s="16" t="str">
        <x:v>pVBTMA5</x:v>
      </x:c>
      <x:c r="D12" s="17" t="str">
        <x:v>Capped five-unit model</x:v>
      </x:c>
    </x:row>
    <x:row r="13" ht="15" hidden="0" customHeight="1">
      <x:c r="A13" s="15" t="str">
        <x:v>Charge model</x:v>
      </x:c>
      <x:c r="B13" s="16" t="str">
        <x:v>Repeat charge normalization</x:v>
      </x:c>
      <x:c r="C13" s="16" t="n">
        <x:v>1</x:v>
      </x:c>
      <x:c r="D13" s="17" t="str">
        <x:v>elementary charge per repeat</x:v>
      </x:c>
    </x:row>
    <x:row r="14" ht="15" hidden="0" customHeight="1">
      <x:c r="A14" s="15" t="str">
        <x:v>Charge model</x:v>
      </x:c>
      <x:c r="B14" s="16" t="str">
        <x:v>Transferred chain charge</x:v>
      </x:c>
      <x:c r="C14" s="16" t="n">
        <x:v>12</x:v>
      </x:c>
      <x:c r="D14" s="17" t="str">
        <x:v>elementary charge</x:v>
      </x:c>
    </x:row>
    <x:row r="15" ht="15" hidden="0" customHeight="1">
      <x:c r="A15" s="15" t="str">
        <x:v>Force field</x:v>
      </x:c>
      <x:c r="B15" s="16" t="str">
        <x:v>Organic atom types</x:v>
      </x:c>
      <x:c r="C15" s="16" t="str">
        <x:v>GAFF2</x:v>
      </x:c>
      <x:c r="D15" s="17"/>
    </x:row>
    <x:row r="16" ht="15" hidden="0" customHeight="1">
      <x:c r="A16" s="15" t="str">
        <x:v>Force field</x:v>
      </x:c>
      <x:c r="B16" s="16" t="str">
        <x:v>Full-chain parmchk2 flagged lines</x:v>
      </x:c>
      <x:c r="C16" s="16" t="n">
        <x:v>0</x:v>
      </x:c>
      <x:c r="D16" s="17" t="str">
        <x:v>lines</x:v>
      </x:c>
    </x:row>
    <x:row r="17" ht="15" hidden="0" customHeight="1">
      <x:c r="A17" s="15" t="str">
        <x:v>Force field</x:v>
      </x:c>
      <x:c r="B17" s="16" t="str">
        <x:v>Dry topology connectivity</x:v>
      </x:c>
      <x:c r="C17" s="16" t="str">
        <x:v>PASS</x:v>
      </x:c>
      <x:c r="D17" s="17" t="str">
        <x:v>Source bonds reproduced</x:v>
      </x:c>
    </x:row>
    <x:row r="18" ht="15" hidden="0" customHeight="1">
      <x:c r="A18" s="15" t="str">
        <x:v>Chloride-form system</x:v>
      </x:c>
      <x:c r="B18" s="16" t="str">
        <x:v>Water model</x:v>
      </x:c>
      <x:c r="C18" s="16" t="str">
        <x:v>TIP3P</x:v>
      </x:c>
      <x:c r="D18" s="17"/>
    </x:row>
    <x:row r="19" ht="15" hidden="0" customHeight="1">
      <x:c r="A19" s="15" t="str">
        <x:v>Chloride-form system</x:v>
      </x:c>
      <x:c r="B19" s="16" t="str">
        <x:v>Solvent buffer</x:v>
      </x:c>
      <x:c r="C19" s="16" t="n">
        <x:v>15</x:v>
      </x:c>
      <x:c r="D19" s="17" t="str">
        <x:v>Å</x:v>
      </x:c>
    </x:row>
    <x:row r="20" ht="15" hidden="0" customHeight="1">
      <x:c r="A20" s="15" t="str">
        <x:v>Chloride-form system</x:v>
      </x:c>
      <x:c r="B20" s="16" t="str">
        <x:v>Water molecules</x:v>
      </x:c>
      <x:c r="C20" s="16" t="n">
        <x:v>5183</x:v>
      </x:c>
      <x:c r="D20" s="17" t="str">
        <x:v>molecules</x:v>
      </x:c>
    </x:row>
    <x:row r="21" ht="15" hidden="0" customHeight="1">
      <x:c r="A21" s="15" t="str">
        <x:v>Chloride-form system</x:v>
      </x:c>
      <x:c r="B21" s="16" t="str">
        <x:v>Sodium ions</x:v>
      </x:c>
      <x:c r="C21" s="16" t="n">
        <x:v>19</x:v>
      </x:c>
      <x:c r="D21" s="17" t="str">
        <x:v>ions</x:v>
      </x:c>
    </x:row>
    <x:row r="22" ht="15" hidden="0" customHeight="1">
      <x:c r="A22" s="15" t="str">
        <x:v>Chloride-form system</x:v>
      </x:c>
      <x:c r="B22" s="16" t="str">
        <x:v>Chloride ions</x:v>
      </x:c>
      <x:c r="C22" s="16" t="n">
        <x:v>31</x:v>
      </x:c>
      <x:c r="D22" s="17" t="str">
        <x:v>12 neutralizing ions plus 19 added-salt ions</x:v>
      </x:c>
    </x:row>
    <x:row r="23" ht="15" hidden="0" customHeight="1">
      <x:c r="A23" s="15" t="str">
        <x:v>Chloride-form system</x:v>
      </x:c>
      <x:c r="B23" s="16" t="str">
        <x:v>Nominal added NaCl</x:v>
      </x:c>
      <x:c r="C23" s="16" t="n">
        <x:v>0.153586</x:v>
      </x:c>
      <x:c r="D23" s="17" t="str">
        <x:v>mol/L</x:v>
      </x:c>
    </x:row>
    <x:row r="24" ht="15" hidden="0" customHeight="1">
      <x:c r="A24" s="15" t="str">
        <x:v>PFOA-associated system</x:v>
      </x:c>
      <x:c r="B24" s="16" t="str">
        <x:v>pVBTMA12 molecules</x:v>
      </x:c>
      <x:c r="C24" s="16" t="n">
        <x:v>1</x:v>
      </x:c>
      <x:c r="D24" s="17" t="str">
        <x:v>molecule</x:v>
      </x:c>
    </x:row>
    <x:row r="25" ht="15" hidden="0" customHeight="1">
      <x:c r="A25" s="15" t="str">
        <x:v>PFOA-associated system</x:v>
      </x:c>
      <x:c r="B25" s="16" t="str">
        <x:v>PFOA molecules</x:v>
      </x:c>
      <x:c r="C25" s="16" t="n">
        <x:v>1</x:v>
      </x:c>
      <x:c r="D25" s="17" t="str">
        <x:v>deprotonated molecule; charge −1</x:v>
      </x:c>
    </x:row>
    <x:row r="26" ht="15" hidden="0" customHeight="1">
      <x:c r="A26" s="15" t="str">
        <x:v>PFOA-associated system</x:v>
      </x:c>
      <x:c r="B26" s="16" t="str">
        <x:v>Sodium ions</x:v>
      </x:c>
      <x:c r="C26" s="16" t="n">
        <x:v>19</x:v>
      </x:c>
      <x:c r="D26" s="17" t="str">
        <x:v>ions</x:v>
      </x:c>
    </x:row>
    <x:row r="27" ht="15" hidden="0" customHeight="1">
      <x:c r="A27" s="15" t="str">
        <x:v>PFOA-associated system</x:v>
      </x:c>
      <x:c r="B27" s="16" t="str">
        <x:v>Chloride ions</x:v>
      </x:c>
      <x:c r="C27" s="16" t="n">
        <x:v>30</x:v>
      </x:c>
      <x:c r="D27" s="17" t="str">
        <x:v>11 neutralizing ions plus 19 added-salt ions</x:v>
      </x:c>
    </x:row>
    <x:row r="28" ht="15" hidden="0" customHeight="1">
      <x:c r="A28" s="15" t="str">
        <x:v>PFOA-associated system</x:v>
      </x:c>
      <x:c r="B28" s="16" t="str">
        <x:v>Water molecules</x:v>
      </x:c>
      <x:c r="C28" s="16" t="n">
        <x:v>5163</x:v>
      </x:c>
      <x:c r="D28" s="17" t="str">
        <x:v>molecules</x:v>
      </x:c>
    </x:row>
    <x:row r="29" ht="15" hidden="0" customHeight="1">
      <x:c r="A29" s="15" t="str">
        <x:v>PFOA-associated system</x:v>
      </x:c>
      <x:c r="B29" s="16" t="str">
        <x:v>Total atoms</x:v>
      </x:c>
      <x:c r="C29" s="16" t="n">
        <x:v>15937</x:v>
      </x:c>
      <x:c r="D29" s="17" t="str">
        <x:v>atoms</x:v>
      </x:c>
    </x:row>
    <x:row r="30" ht="15" hidden="0" customHeight="1">
      <x:c r="A30" s="15" t="str">
        <x:v>PFOA-associated system</x:v>
      </x:c>
      <x:c r="B30" s="16" t="str">
        <x:v>Net charge</x:v>
      </x:c>
      <x:c r="C30" s="16" t="n">
        <x:v>0</x:v>
      </x:c>
      <x:c r="D30" s="17" t="str">
        <x:v>elementary charge</x:v>
      </x:c>
    </x:row>
    <x:row r="31" ht="15" hidden="0" customHeight="1">
      <x:c r="A31" s="15" t="str">
        <x:v>PFOA-associated system</x:v>
      </x:c>
      <x:c r="B31" s="16" t="str">
        <x:v>Initial selected repeat</x:v>
      </x:c>
      <x:c r="C31" s="16" t="n">
        <x:v>9</x:v>
      </x:c>
      <x:c r="D31" s="17" t="str">
        <x:v>repeat index</x:v>
      </x:c>
    </x:row>
    <x:row r="32" ht="15" hidden="0" customHeight="1">
      <x:c r="A32" s="15" t="str">
        <x:v>PFOA-associated system</x:v>
      </x:c>
      <x:c r="B32" s="16" t="str">
        <x:v>Initial nearest O-to-N distance</x:v>
      </x:c>
      <x:c r="C32" s="16" t="n">
        <x:v>4.4296</x:v>
      </x:c>
      <x:c r="D32" s="17" t="str">
        <x:v>Å</x:v>
      </x:c>
    </x:row>
    <x:row r="33" ht="15" hidden="0" customHeight="1">
      <x:c r="A33" s="18" t="str">
        <x:v>PFOA-associated system</x:v>
      </x:c>
      <x:c r="B33" s="19" t="str">
        <x:v>Waters removed for overlap</x:v>
      </x:c>
      <x:c r="C33" s="19" t="n">
        <x:v>20</x:v>
      </x:c>
      <x:c r="D33" s="20" t="str">
        <x:v>molecules</x:v>
      </x:c>
    </x:row>
    <x:row r="36">
      <x:c r="A36" t="str">
        <x:v>Table S5b. Structural and parameterization validation</x:v>
      </x:c>
    </x:row>
    <x:row r="37" ht="30" customHeight="1">
      <x:c r="A37" s="56" t="str">
        <x:v>Check</x:v>
      </x:c>
      <x:c r="B37" s="56" t="str">
        <x:v>Criterion</x:v>
      </x:c>
      <x:c r="C37" s="56" t="str">
        <x:v>Recorded result</x:v>
      </x:c>
    </x:row>
    <x:row r="38" ht="100" customHeight="1">
      <x:c r="A38" s="55" t="str">
        <x:v>Composition</x:v>
      </x:c>
      <x:c r="B38" s="55" t="str">
        <x:v>Match the model definition</x:v>
      </x:c>
      <x:c r="C38" s="55" t="str">
        <x:v>C₁₄₄H₂₁₈N₁₂, formal charge +12, 156 heavy atoms, one connected component, no dummy atoms. All three generated SDFs passed.</x:v>
      </x:c>
    </x:row>
    <x:row r="39" ht="100" customHeight="1">
      <x:c r="A39" s="55" t="str">
        <x:v>Chemical graph</x:v>
      </x:c>
      <x:c r="B39" s="55" t="str">
        <x:v>Match constitution and site counts</x:v>
      </x:c>
      <x:c r="C39" s="55" t="str">
        <x:v>All three SDFs matched the reference constitution, with 12 quaternary ammonium sites and 12 aromatic six-membered rings.</x:v>
      </x:c>
    </x:row>
    <x:row r="40" ht="100" customHeight="1">
      <x:c r="A40" s="55" t="str">
        <x:v>Stereochemistry</x:v>
      </x:c>
      <x:c r="B40" s="55" t="str">
        <x:v>Preserve the specified stereoisomer</x:v>
      </x:c>
      <x:c r="C40" s="55" t="str">
        <x:v>All three SDFs passed the exact-stereoisomer comparison. The model specifies 11 backbone stereocenters.</x:v>
      </x:c>
    </x:row>
    <x:row r="41" ht="100" customHeight="1">
      <x:c r="A41" s="55" t="str">
        <x:v>Initial geometry</x:v>
      </x:c>
      <x:c r="B41" s="55" t="str">
        <x:v>Report nonbonded heavy-atom separation</x:v>
      </x:c>
      <x:c r="C41" s="55" t="str">
        <x:v>Minimum distances: 2.075 Å after generation, 2.368 Å after UFF minimization, and 2.353 Å after optional MMFF94 minimization. UFF geometry was used for parameterization.</x:v>
      </x:c>
    </x:row>
    <x:row r="42" ht="100" customHeight="1">
      <x:c r="A42" s="55" t="str">
        <x:v>Atom mapping</x:v>
      </x:c>
      <x:c r="B42" s="55" t="str">
        <x:v>Complete mapping and matching atom roles</x:v>
      </x:c>
      <x:c r="C42" s="55" t="str">
        <x:v>All 374 mapping entries formed a bijection. Mapped elements and bond pairs agreed. Repeat-role multiplicity checks passed for all 12 repeats.</x:v>
      </x:c>
    </x:row>
    <x:row r="43" ht="100" customHeight="1">
      <x:c r="A43" s="55" t="str">
        <x:v>Charge transfer</x:v>
      </x:c>
      <x:c r="B43" s="55" t="str">
        <x:v>Normalize each repeat to +1</x:v>
      </x:c>
      <x:c r="C43" s="55" t="str">
        <x:v>The reduced-model serialized charge sum was +4.995001 e. Normalized head, internal, and tail libraries each sum to +1 e. Before serialization, all transferred repeat sums met 10⁻¹⁰ e tolerance and the chain summed to +12 e.</x:v>
      </x:c>
    </x:row>
    <x:row r="44" ht="100" customHeight="1">
      <x:c r="A44" s="55" t="str">
        <x:v>Serialized charge</x:v>
      </x:c>
      <x:c r="B44" s="55" t="str">
        <x:v>Report residual and acceptance tolerance</x:v>
      </x:c>
      <x:c r="C44" s="55" t="str">
        <x:v>Production MOL2: +11.999994 e. The strict 10⁻⁶ e test was not met. The residual, −0.000006 e, was within the documented serialization bound of 0.000187 e. Dry topology: +11.99999404 e, within its 10⁻⁵ e tolerance.</x:v>
      </x:c>
    </x:row>
    <x:row r="45" ht="100" customHeight="1">
      <x:c r="A45" s="55" t="str">
        <x:v>Charge comparison</x:v>
      </x:c>
      <x:c r="B45" s="55" t="str">
        <x:v>RMSE ≤0.010 e and maximum difference ≤0.040 e for each group</x:v>
      </x:c>
      <x:c r="C45" s="55" t="str">
        <x:v>Transferred versus direct whole-chain AM1-BCC charges passed for all groups. Overall RMSE: 0.004725 e. Largest group RMSE: 0.007295 e. Maximum absolute difference: 0.022813 e.</x:v>
      </x:c>
    </x:row>
    <x:row r="46" ht="100" customHeight="1">
      <x:c r="A46" s="55" t="str">
        <x:v>Production connectivity</x:v>
      </x:c>
      <x:c r="B46" s="55" t="str">
        <x:v>Match source atom and bond indices</x:v>
      </x:c>
      <x:c r="C46" s="55" t="str">
        <x:v>374 atoms, 385 bonds, 167 heavy-atom bonds, one component, and 12 four-coordinate nitrogen atoms. Indexed element and bond-pair comparisons passed.</x:v>
      </x:c>
    </x:row>
    <x:row r="47" ht="100" customHeight="1">
      <x:c r="A47" s="55" t="str">
        <x:v>Parameter coverage</x:v>
      </x:c>
      <x:c r="B47" s="55" t="str">
        <x:v>No flagged missing GAFF2 terms</x:v>
      </x:c>
      <x:c r="C47" s="55" t="str">
        <x:v>Full-chain parmchk2 assessment reported zero flagged lines in the generated parameter file.</x:v>
      </x:c>
    </x:row>
    <x:row r="48" ht="100" customHeight="1">
      <x:c r="A48" s="55" t="str">
        <x:v>Dry topology</x:v>
      </x:c>
      <x:c r="B48" s="55" t="str">
        <x:v>Reproduce source graph and expected charge</x:v>
      </x:c>
      <x:c r="C48" s="55" t="str">
        <x:v>374 atoms and 385 bonds. Topology and MOL2 bond-index sets matched. No periodic box was present, as expected for this check.</x:v>
      </x:c>
    </x:row>
    <x:row r="49" ht="100" customHeight="1">
      <x:c r="A49" s="55" t="str">
        <x:v>Chloride-form precursor</x:v>
      </x:c>
      <x:c r="B49" s="55" t="str">
        <x:v>Match composition, ions, and periodic box</x:v>
      </x:c>
      <x:c r="C49" s="55" t="str">
        <x:v>15,973 atoms, 5,183 waters, 19 Na⁺ and 31 Cl⁻. Charge residual: −0.00000596 e. Nominal added NaCl: 0.153586 M for a 0.150 M target. Polymer, ions, salt, box, water, and LEaP checks passed.</x:v>
      </x:c>
    </x:row>
    <x:row r="51">
      <x:c r="A51" t="str">
        <x:v>Solvation validation covers the chloride-form precursor. Production composition is in S5a.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7.33000183105469" hidden="0" customWidth="1"/>
    <x:col min="2" max="2" width="27.219999313354492" hidden="0" customWidth="1"/>
    <x:col min="3" max="3" width="15.220000267028809" hidden="0" customWidth="1"/>
    <x:col min="4" max="4" width="28.670000076293945" hidden="0" customWidth="1"/>
  </x:cols>
  <x:sheetData>
    <x:row r="1" ht="15" hidden="0" customHeight="1">
      <x:c r="A1" s="21" t="str">
        <x:v>Table S6. Molecular dynamics protocol and replica sampling</x:v>
      </x:c>
      <x:c r="B1" s="22"/>
      <x:c r="C1" s="22"/>
      <x:c r="D1" s="23"/>
    </x:row>
    <x:row r="2" ht="42" hidden="0" customHeight="1">
      <x:c r="A2" s="38" t="str">
        <x:v>Scope</x:v>
      </x:c>
      <x:c r="B2" s="39" t="str">
        <x:v>Parameter</x:v>
      </x:c>
      <x:c r="C2" s="39" t="str">
        <x:v>Value</x:v>
      </x:c>
      <x:c r="D2" s="40" t="str">
        <x:v>Units or definition</x:v>
      </x:c>
    </x:row>
    <x:row r="3" ht="15" hidden="0" customHeight="1">
      <x:c r="A3" s="15" t="str">
        <x:v>Common</x:v>
      </x:c>
      <x:c r="B3" s="16" t="str">
        <x:v>Software</x:v>
      </x:c>
      <x:c r="C3" s="16" t="str">
        <x:v>NAMD3</x:v>
      </x:c>
      <x:c r="D3" s="17" t="str">
        <x:v>AMBER topology and coordinate mode</x:v>
      </x:c>
    </x:row>
    <x:row r="4" ht="15" hidden="0" customHeight="1">
      <x:c r="A4" s="15" t="str">
        <x:v>Common</x:v>
      </x:c>
      <x:c r="B4" s="16" t="str">
        <x:v>Ensemble</x:v>
      </x:c>
      <x:c r="C4" s="16" t="str">
        <x:v>NPT</x:v>
      </x:c>
      <x:c r="D4" s="17"/>
    </x:row>
    <x:row r="5" ht="15" hidden="0" customHeight="1">
      <x:c r="A5" s="15" t="str">
        <x:v>Common</x:v>
      </x:c>
      <x:c r="B5" s="16" t="str">
        <x:v>Temperature</x:v>
      </x:c>
      <x:c r="C5" s="16" t="n">
        <x:v>310.15</x:v>
      </x:c>
      <x:c r="D5" s="17" t="str">
        <x:v>K</x:v>
      </x:c>
    </x:row>
    <x:row r="6" ht="15" hidden="0" customHeight="1">
      <x:c r="A6" s="15" t="str">
        <x:v>Common</x:v>
      </x:c>
      <x:c r="B6" s="16" t="str">
        <x:v>Pressure</x:v>
      </x:c>
      <x:c r="C6" s="16" t="n">
        <x:v>1.01325</x:v>
      </x:c>
      <x:c r="D6" s="17" t="str">
        <x:v>bar</x:v>
      </x:c>
    </x:row>
    <x:row r="7" ht="15" hidden="0" customHeight="1">
      <x:c r="A7" s="15" t="str">
        <x:v>Common</x:v>
      </x:c>
      <x:c r="B7" s="16" t="str">
        <x:v>Time step</x:v>
      </x:c>
      <x:c r="C7" s="16" t="n">
        <x:v>2</x:v>
      </x:c>
      <x:c r="D7" s="17" t="str">
        <x:v>fs</x:v>
      </x:c>
    </x:row>
    <x:row r="8" ht="15" hidden="0" customHeight="1">
      <x:c r="A8" s="15" t="str">
        <x:v>Common</x:v>
      </x:c>
      <x:c r="B8" s="16" t="str">
        <x:v>Electrostatics</x:v>
      </x:c>
      <x:c r="C8" s="16" t="str">
        <x:v>Particle mesh Ewald</x:v>
      </x:c>
      <x:c r="D8" s="17" t="str">
        <x:v>Grid spacing 1 Å</x:v>
      </x:c>
    </x:row>
    <x:row r="9" ht="15" hidden="0" customHeight="1">
      <x:c r="A9" s="15" t="str">
        <x:v>Common</x:v>
      </x:c>
      <x:c r="B9" s="16" t="str">
        <x:v>Nonbonded cutoff</x:v>
      </x:c>
      <x:c r="C9" s="16" t="n">
        <x:v>9</x:v>
      </x:c>
      <x:c r="D9" s="17" t="str">
        <x:v>Å</x:v>
      </x:c>
    </x:row>
    <x:row r="10" ht="15" hidden="0" customHeight="1">
      <x:c r="A10" s="15" t="str">
        <x:v>Common</x:v>
      </x:c>
      <x:c r="B10" s="16" t="str">
        <x:v>Pairlist distance</x:v>
      </x:c>
      <x:c r="C10" s="16" t="n">
        <x:v>11</x:v>
      </x:c>
      <x:c r="D10" s="17" t="str">
        <x:v>Å</x:v>
      </x:c>
    </x:row>
    <x:row r="11" ht="15" hidden="0" customHeight="1">
      <x:c r="A11" s="15" t="str">
        <x:v>Common</x:v>
      </x:c>
      <x:c r="B11" s="16" t="str">
        <x:v>Switching</x:v>
      </x:c>
      <x:c r="C11" s="16" t="str">
        <x:v>Off</x:v>
      </x:c>
      <x:c r="D11" s="17"/>
    </x:row>
    <x:row r="12" ht="15" hidden="0" customHeight="1">
      <x:c r="A12" s="15" t="str">
        <x:v>Common</x:v>
      </x:c>
      <x:c r="B12" s="16" t="str">
        <x:v>Lennard-Jones long-range correction</x:v>
      </x:c>
      <x:c r="C12" s="16" t="str">
        <x:v>On</x:v>
      </x:c>
      <x:c r="D12" s="17"/>
    </x:row>
    <x:row r="13" ht="15" hidden="0" customHeight="1">
      <x:c r="A13" s="15" t="str">
        <x:v>Common</x:v>
      </x:c>
      <x:c r="B13" s="16" t="str">
        <x:v>Hydrogen-bond constraint</x:v>
      </x:c>
      <x:c r="C13" s="16" t="str">
        <x:v>rigidBonds all</x:v>
      </x:c>
      <x:c r="D13" s="17"/>
    </x:row>
    <x:row r="14" ht="15" hidden="0" customHeight="1">
      <x:c r="A14" s="15" t="str">
        <x:v>Common</x:v>
      </x:c>
      <x:c r="B14" s="16" t="str">
        <x:v>Langevin damping</x:v>
      </x:c>
      <x:c r="C14" s="16" t="n">
        <x:v>1</x:v>
      </x:c>
      <x:c r="D14" s="17" t="str">
        <x:v>ps−1</x:v>
      </x:c>
    </x:row>
    <x:row r="15" ht="15" hidden="0" customHeight="1">
      <x:c r="A15" s="15" t="str">
        <x:v>Common</x:v>
      </x:c>
      <x:c r="B15" s="16" t="str">
        <x:v>Piston period</x:v>
      </x:c>
      <x:c r="C15" s="16" t="n">
        <x:v>100</x:v>
      </x:c>
      <x:c r="D15" s="17" t="str">
        <x:v>fs</x:v>
      </x:c>
    </x:row>
    <x:row r="16" ht="15" hidden="0" customHeight="1">
      <x:c r="A16" s="15" t="str">
        <x:v>Common</x:v>
      </x:c>
      <x:c r="B16" s="16" t="str">
        <x:v>Piston decay</x:v>
      </x:c>
      <x:c r="C16" s="16" t="n">
        <x:v>50</x:v>
      </x:c>
      <x:c r="D16" s="17" t="str">
        <x:v>fs</x:v>
      </x:c>
    </x:row>
    <x:row r="17" ht="15" hidden="0" customHeight="1">
      <x:c r="A17" s="15" t="str">
        <x:v>Common</x:v>
      </x:c>
      <x:c r="B17" s="16" t="str">
        <x:v>Restraints</x:v>
      </x:c>
      <x:c r="C17" s="16" t="str">
        <x:v>None</x:v>
      </x:c>
      <x:c r="D17" s="17"/>
    </x:row>
    <x:row r="18" ht="15" hidden="0" customHeight="1">
      <x:c r="A18" s="15" t="str">
        <x:v>Common</x:v>
      </x:c>
      <x:c r="B18" s="16" t="str">
        <x:v>Equilibration per replica</x:v>
      </x:c>
      <x:c r="C18" s="16" t="n">
        <x:v>0.5</x:v>
      </x:c>
      <x:c r="D18" s="17" t="str">
        <x:v>ns</x:v>
      </x:c>
    </x:row>
    <x:row r="19" ht="15" hidden="0" customHeight="1">
      <x:c r="A19" s="15" t="str">
        <x:v>Common</x:v>
      </x:c>
      <x:c r="B19" s="16" t="str">
        <x:v>Production per replica</x:v>
      </x:c>
      <x:c r="C19" s="16" t="n">
        <x:v>10</x:v>
      </x:c>
      <x:c r="D19" s="17" t="str">
        <x:v>ns</x:v>
      </x:c>
    </x:row>
    <x:row r="20" ht="15" hidden="0" customHeight="1">
      <x:c r="A20" s="15" t="str">
        <x:v>Common</x:v>
      </x:c>
      <x:c r="B20" s="16" t="str">
        <x:v>Production segments</x:v>
      </x:c>
      <x:c r="C20" s="16" t="n">
        <x:v>10</x:v>
      </x:c>
      <x:c r="D20" s="17" t="str">
        <x:v>1 ns restartable segments per replica</x:v>
      </x:c>
    </x:row>
    <x:row r="21" ht="15" hidden="0" customHeight="1">
      <x:c r="A21" s="15" t="str">
        <x:v>Common</x:v>
      </x:c>
      <x:c r="B21" s="16" t="str">
        <x:v>Saved-frame interval</x:v>
      </x:c>
      <x:c r="C21" s="16" t="n">
        <x:v>2</x:v>
      </x:c>
      <x:c r="D21" s="17" t="str">
        <x:v>ps</x:v>
      </x:c>
    </x:row>
    <x:row r="22" ht="15" hidden="0" customHeight="1">
      <x:c r="A22" s="15" t="str">
        <x:v>Common</x:v>
      </x:c>
      <x:c r="B22" s="16" t="str">
        <x:v>Production frames per replica</x:v>
      </x:c>
      <x:c r="C22" s="16" t="n">
        <x:v>5000</x:v>
      </x:c>
      <x:c r="D22" s="17" t="str">
        <x:v>frames</x:v>
      </x:c>
    </x:row>
    <x:row r="23" ht="15" hidden="0" customHeight="1">
      <x:c r="A23" s="15" t="str">
        <x:v>Replica 1</x:v>
      </x:c>
      <x:c r="B23" s="16" t="str">
        <x:v>Production duration</x:v>
      </x:c>
      <x:c r="C23" s="16" t="n">
        <x:v>10</x:v>
      </x:c>
      <x:c r="D23" s="17" t="str">
        <x:v>ns</x:v>
      </x:c>
    </x:row>
    <x:row r="24" ht="15" hidden="0" customHeight="1">
      <x:c r="A24" s="15" t="str">
        <x:v>Replica 1</x:v>
      </x:c>
      <x:c r="B24" s="16" t="str">
        <x:v>Production frames</x:v>
      </x:c>
      <x:c r="C24" s="16" t="n">
        <x:v>5000</x:v>
      </x:c>
      <x:c r="D24" s="17" t="str">
        <x:v>frames</x:v>
      </x:c>
    </x:row>
    <x:row r="25" ht="15" hidden="0" customHeight="1">
      <x:c r="A25" s="15" t="str">
        <x:v>Replica 2</x:v>
      </x:c>
      <x:c r="B25" s="16" t="str">
        <x:v>Production duration</x:v>
      </x:c>
      <x:c r="C25" s="16" t="n">
        <x:v>10</x:v>
      </x:c>
      <x:c r="D25" s="17" t="str">
        <x:v>ns</x:v>
      </x:c>
    </x:row>
    <x:row r="26" ht="15" hidden="0" customHeight="1">
      <x:c r="A26" s="15" t="str">
        <x:v>Replica 2</x:v>
      </x:c>
      <x:c r="B26" s="16" t="str">
        <x:v>Production frames</x:v>
      </x:c>
      <x:c r="C26" s="16" t="n">
        <x:v>5000</x:v>
      </x:c>
      <x:c r="D26" s="17" t="str">
        <x:v>frames</x:v>
      </x:c>
    </x:row>
    <x:row r="27" ht="15" hidden="0" customHeight="1">
      <x:c r="A27" s="15" t="str">
        <x:v>Replica 3</x:v>
      </x:c>
      <x:c r="B27" s="16" t="str">
        <x:v>Production duration</x:v>
      </x:c>
      <x:c r="C27" s="16" t="n">
        <x:v>10</x:v>
      </x:c>
      <x:c r="D27" s="17" t="str">
        <x:v>ns</x:v>
      </x:c>
    </x:row>
    <x:row r="28" ht="15" hidden="0" customHeight="1">
      <x:c r="A28" s="15" t="str">
        <x:v>Replica 3</x:v>
      </x:c>
      <x:c r="B28" s="16" t="str">
        <x:v>Production frames</x:v>
      </x:c>
      <x:c r="C28" s="16" t="n">
        <x:v>5000</x:v>
      </x:c>
      <x:c r="D28" s="17" t="str">
        <x:v>frames</x:v>
      </x:c>
    </x:row>
    <x:row r="29" ht="15" hidden="0" customHeight="1">
      <x:c r="A29" s="15" t="str">
        <x:v>Analysis</x:v>
      </x:c>
      <x:c r="B29" s="16" t="str">
        <x:v>Block duration</x:v>
      </x:c>
      <x:c r="C29" s="16" t="n">
        <x:v>1</x:v>
      </x:c>
      <x:c r="D29" s="17" t="str">
        <x:v>ns</x:v>
      </x:c>
    </x:row>
    <x:row r="30" ht="15" hidden="0" customHeight="1">
      <x:c r="A30" s="15" t="str">
        <x:v>Analysis</x:v>
      </x:c>
      <x:c r="B30" s="16" t="str">
        <x:v>Blocks per replica</x:v>
      </x:c>
      <x:c r="C30" s="16" t="n">
        <x:v>10</x:v>
      </x:c>
      <x:c r="D30" s="17" t="str">
        <x:v>blocks</x:v>
      </x:c>
    </x:row>
    <x:row r="31" ht="15" hidden="0" customHeight="1">
      <x:c r="A31" s="15" t="str">
        <x:v>Analysis</x:v>
      </x:c>
      <x:c r="B31" s="16" t="str">
        <x:v>ESS screen</x:v>
      </x:c>
      <x:c r="C31" s="16" t="n">
        <x:v>20</x:v>
      </x:c>
      <x:c r="D31" s="17" t="str">
        <x:v>minimum effective sample size</x:v>
      </x:c>
    </x:row>
    <x:row r="32" ht="15" hidden="0" customHeight="1">
      <x:c r="A32" s="15" t="str">
        <x:v>Analysis</x:v>
      </x:c>
      <x:c r="B32" s="16" t="str">
        <x:v>Early-to-late shift screen</x:v>
      </x:c>
      <x:c r="C32" s="16" t="n">
        <x:v>0.5</x:v>
      </x:c>
      <x:c r="D32" s="17" t="str">
        <x:v>maximum within-replica SD</x:v>
      </x:c>
    </x:row>
    <x:row r="33" ht="15" hidden="0" customHeight="1">
      <x:c r="A33" s="18" t="str">
        <x:v>Analysis</x:v>
      </x:c>
      <x:c r="B33" s="19" t="str">
        <x:v>Replica-spread screen</x:v>
      </x:c>
      <x:c r="C33" s="19" t="n">
        <x:v>1</x:v>
      </x:c>
      <x:c r="D33" s="20" t="str">
        <x:v>maximum pooled within-replica SD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1.66999816894531" hidden="0" customWidth="1"/>
    <x:col min="2" max="2" width="11.670000076293945" hidden="0" customWidth="1"/>
    <x:col min="3" max="3" width="4.110000133514404" hidden="0" customWidth="1"/>
    <x:col min="4" max="4" width="10" hidden="0" customWidth="1"/>
    <x:col min="5" max="5" width="10" hidden="0" customWidth="1"/>
    <x:col min="6" max="6" width="6.329999923706055" hidden="0" customWidth="1"/>
    <x:col min="7" max="7" width="6.329999923706055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15" hidden="0" customHeight="1">
      <x:c r="A1" s="21" t="str">
        <x:v>Table S7. Per-replica molecular dynamics summaries</x:v>
      </x:c>
      <x:c r="B1" s="22"/>
      <x:c r="C1" s="22"/>
      <x:c r="D1" s="22"/>
      <x:c r="E1" s="22"/>
      <x:c r="F1" s="22"/>
      <x:c r="G1" s="22"/>
      <x:c r="H1" s="22"/>
      <x:c r="I1" s="22"/>
      <x:c r="J1" s="23"/>
    </x:row>
    <x:row r="2" ht="42" hidden="0" customHeight="1">
      <x:c r="A2" s="38" t="str">
        <x:v>replica</x:v>
      </x:c>
      <x:c r="B2" s="39" t="str">
        <x:v>metric</x:v>
      </x:c>
      <x:c r="C2" s="39" t="str">
        <x:v>n</x:v>
      </x:c>
      <x:c r="D2" s="39" t="str">
        <x:v>mean</x:v>
      </x:c>
      <x:c r="E2" s="39" t="str">
        <x:v>sd</x:v>
      </x:c>
      <x:c r="F2" s="39" t="str">
        <x:v>min</x:v>
      </x:c>
      <x:c r="G2" s="39" t="str">
        <x:v>max</x:v>
      </x:c>
      <x:c r="H2" s="39" t="str">
        <x:v>iat_frames</x:v>
      </x:c>
      <x:c r="I2" s="39" t="str">
        <x:v>iat_ps</x:v>
      </x:c>
      <x:c r="J2" s="40" t="str">
        <x:v>ess</x:v>
      </x:c>
    </x:row>
    <x:row r="3" ht="15" hidden="0" customHeight="1">
      <x:c r="A3" s="15" t="str">
        <x:v>replica_01</x:v>
      </x:c>
      <x:c r="B3" s="16" t="str">
        <x:v>rmsd</x:v>
      </x:c>
      <x:c r="C3" s="16" t="n">
        <x:v>5000</x:v>
      </x:c>
      <x:c r="D3" s="16" t="n">
        <x:v>4.6848818</x:v>
      </x:c>
      <x:c r="E3" s="16" t="n">
        <x:v>0.8148754589012139</x:v>
      </x:c>
      <x:c r="F3" s="16" t="n">
        <x:v>0</x:v>
      </x:c>
      <x:c r="G3" s="16" t="n">
        <x:v>7.0406</x:v>
      </x:c>
      <x:c r="H3" s="16" t="n">
        <x:v>172.0920079181798</x:v>
      </x:c>
      <x:c r="I3" s="16" t="n">
        <x:v>344.1840158363596</x:v>
      </x:c>
      <x:c r="J3" s="17" t="n">
        <x:v>14.52711273604647</x:v>
      </x:c>
    </x:row>
    <x:row r="4" ht="15" hidden="0" customHeight="1">
      <x:c r="A4" s="15" t="str">
        <x:v>replica_01</x:v>
      </x:c>
      <x:c r="B4" s="16" t="str">
        <x:v>rg</x:v>
      </x:c>
      <x:c r="C4" s="16" t="n">
        <x:v>5000</x:v>
      </x:c>
      <x:c r="D4" s="16" t="n">
        <x:v>9.33492262</x:v>
      </x:c>
      <x:c r="E4" s="16" t="n">
        <x:v>0.26766375578992446</x:v>
      </x:c>
      <x:c r="F4" s="16" t="n">
        <x:v>8.3307</x:v>
      </x:c>
      <x:c r="G4" s="16" t="n">
        <x:v>10.0825</x:v>
      </x:c>
      <x:c r="H4" s="16" t="n">
        <x:v>139.83838408500077</x:v>
      </x:c>
      <x:c r="I4" s="16" t="n">
        <x:v>279.67676817000154</x:v>
      </x:c>
      <x:c r="J4" s="17" t="n">
        <x:v>17.87778095662472</x:v>
      </x:c>
    </x:row>
    <x:row r="5" ht="15" hidden="0" customHeight="1">
      <x:c r="A5" s="15" t="str">
        <x:v>replica_01</x:v>
      </x:c>
      <x:c r="B5" s="16" t="str">
        <x:v>end_to_end</x:v>
      </x:c>
      <x:c r="C5" s="16" t="n">
        <x:v>5000</x:v>
      </x:c>
      <x:c r="D5" s="16" t="n">
        <x:v>24.71403958</x:v>
      </x:c>
      <x:c r="E5" s="16" t="n">
        <x:v>2.3526151856514432</x:v>
      </x:c>
      <x:c r="F5" s="16" t="n">
        <x:v>15.8298</x:v>
      </x:c>
      <x:c r="G5" s="16" t="n">
        <x:v>29.8691</x:v>
      </x:c>
      <x:c r="H5" s="16" t="n">
        <x:v>186.31068638172368</x:v>
      </x:c>
      <x:c r="I5" s="16" t="n">
        <x:v>372.62137276344737</x:v>
      </x:c>
      <x:c r="J5" s="17" t="n">
        <x:v>13.418446620275239</x:v>
      </x:c>
    </x:row>
    <x:row r="6" ht="15" hidden="0" customHeight="1">
      <x:c r="A6" s="15" t="str">
        <x:v>replica_01</x:v>
      </x:c>
      <x:c r="B6" s="16" t="str">
        <x:v>head_selected</x:v>
      </x:c>
      <x:c r="C6" s="16" t="n">
        <x:v>5000</x:v>
      </x:c>
      <x:c r="D6" s="16" t="n">
        <x:v>8.7214334</x:v>
      </x:c>
      <x:c r="E6" s="16" t="n">
        <x:v>2.911661912548062</x:v>
      </x:c>
      <x:c r="F6" s="16" t="n">
        <x:v>3.526</x:v>
      </x:c>
      <x:c r="G6" s="16" t="n">
        <x:v>19.21</x:v>
      </x:c>
      <x:c r="H6" s="16" t="n">
        <x:v>164.75787897671142</x:v>
      </x:c>
      <x:c r="I6" s="16" t="n">
        <x:v>329.51575795342285</x:v>
      </x:c>
      <x:c r="J6" s="17" t="n">
        <x:v>15.173781160131199</x:v>
      </x:c>
    </x:row>
    <x:row r="7" ht="15" hidden="0" customHeight="1">
      <x:c r="A7" s="15" t="str">
        <x:v>replica_01</x:v>
      </x:c>
      <x:c r="B7" s="16" t="str">
        <x:v>head_any</x:v>
      </x:c>
      <x:c r="C7" s="16" t="n">
        <x:v>5000</x:v>
      </x:c>
      <x:c r="D7" s="16" t="n">
        <x:v>5.1647974</x:v>
      </x:c>
      <x:c r="E7" s="16" t="n">
        <x:v>0.9161281812727652</x:v>
      </x:c>
      <x:c r="F7" s="16" t="n">
        <x:v>3.268</x:v>
      </x:c>
      <x:c r="G7" s="16" t="n">
        <x:v>9.653</x:v>
      </x:c>
      <x:c r="H7" s="16" t="n">
        <x:v>11.774762048017664</x:v>
      </x:c>
      <x:c r="I7" s="16" t="n">
        <x:v>23.549524096035327</x:v>
      </x:c>
      <x:c r="J7" s="17" t="n">
        <x:v>212.31851563581165</x:v>
      </x:c>
    </x:row>
    <x:row r="8" ht="15" hidden="0" customHeight="1">
      <x:c r="A8" s="15" t="str">
        <x:v>replica_01</x:v>
      </x:c>
      <x:c r="B8" s="16" t="str">
        <x:v>pfoa_polymer</x:v>
      </x:c>
      <x:c r="C8" s="16" t="n">
        <x:v>5000</x:v>
      </x:c>
      <x:c r="D8" s="16" t="n">
        <x:v>3.0058452</x:v>
      </x:c>
      <x:c r="E8" s="16" t="n">
        <x:v>0.14355559229293616</x:v>
      </x:c>
      <x:c r="F8" s="16" t="n">
        <x:v>2.584</x:v>
      </x:c>
      <x:c r="G8" s="16" t="n">
        <x:v>3.748</x:v>
      </x:c>
      <x:c r="H8" s="16" t="n">
        <x:v>45.73868900493138</x:v>
      </x:c>
      <x:c r="I8" s="16" t="n">
        <x:v>91.47737800986276</x:v>
      </x:c>
      <x:c r="J8" s="17" t="n">
        <x:v>54.658322186070066</x:v>
      </x:c>
    </x:row>
    <x:row r="9" ht="15" hidden="0" customHeight="1">
      <x:c r="A9" s="15" t="str">
        <x:v>replica_01</x:v>
      </x:c>
      <x:c r="B9" s="16" t="str">
        <x:v>polymer_image</x:v>
      </x:c>
      <x:c r="C9" s="16" t="n">
        <x:v>5000</x:v>
      </x:c>
      <x:c r="D9" s="16" t="n">
        <x:v>29.270682039999997</x:v>
      </x:c>
      <x:c r="E9" s="16" t="n">
        <x:v>2.4967528328857753</x:v>
      </x:c>
      <x:c r="F9" s="16" t="n">
        <x:v>19.1981</x:v>
      </x:c>
      <x:c r="G9" s="16" t="n">
        <x:v>34.8654</x:v>
      </x:c>
      <x:c r="H9" s="16" t="n">
        <x:v>112.47772341701923</x:v>
      </x:c>
      <x:c r="I9" s="16" t="n">
        <x:v>224.95544683403847</x:v>
      </x:c>
      <x:c r="J9" s="17" t="n">
        <x:v>22.22662340640618</x:v>
      </x:c>
    </x:row>
    <x:row r="10" ht="15" hidden="0" customHeight="1">
      <x:c r="A10" s="15" t="str">
        <x:v>replica_01</x:v>
      </x:c>
      <x:c r="B10" s="16" t="str">
        <x:v>pfoa_image</x:v>
      </x:c>
      <x:c r="C10" s="16" t="n">
        <x:v>5000</x:v>
      </x:c>
      <x:c r="D10" s="16" t="n">
        <x:v>45.6246846</x:v>
      </x:c>
      <x:c r="E10" s="16" t="n">
        <x:v>1.4390370677169135</x:v>
      </x:c>
      <x:c r="F10" s="16" t="n">
        <x:v>40.7415</x:v>
      </x:c>
      <x:c r="G10" s="16" t="n">
        <x:v>48.0049</x:v>
      </x:c>
      <x:c r="H10" s="16" t="n">
        <x:v>71.55521506867181</x:v>
      </x:c>
      <x:c r="I10" s="16" t="n">
        <x:v>143.11043013734363</x:v>
      </x:c>
      <x:c r="J10" s="17" t="n">
        <x:v>34.93805444649618</x:v>
      </x:c>
    </x:row>
    <x:row r="11" ht="15" hidden="0" customHeight="1">
      <x:c r="A11" s="15" t="str">
        <x:v>replica_01</x:v>
      </x:c>
      <x:c r="B11" s="16" t="str">
        <x:v>tail_contacts</x:v>
      </x:c>
      <x:c r="C11" s="16" t="n">
        <x:v>5000</x:v>
      </x:c>
      <x:c r="D11" s="16" t="n">
        <x:v>16.2712</x:v>
      </x:c>
      <x:c r="E11" s="16" t="n">
        <x:v>4.646371521269336</x:v>
      </x:c>
      <x:c r="F11" s="16" t="n">
        <x:v>1</x:v>
      </x:c>
      <x:c r="G11" s="16" t="n">
        <x:v>31</x:v>
      </x:c>
      <x:c r="H11" s="16" t="n">
        <x:v>149.5024630649894</x:v>
      </x:c>
      <x:c r="I11" s="16" t="n">
        <x:v>299.0049261299788</x:v>
      </x:c>
      <x:c r="J11" s="17" t="n">
        <x:v>16.722132523751387</x:v>
      </x:c>
    </x:row>
    <x:row r="12" ht="15" hidden="0" customHeight="1">
      <x:c r="A12" s="15" t="str">
        <x:v>replica_01</x:v>
      </x:c>
      <x:c r="B12" s="16" t="str">
        <x:v>tail_waters</x:v>
      </x:c>
      <x:c r="C12" s="16" t="n">
        <x:v>5000</x:v>
      </x:c>
      <x:c r="D12" s="16" t="n">
        <x:v>37.4054</x:v>
      </x:c>
      <x:c r="E12" s="16" t="n">
        <x:v>5.746934512525635</x:v>
      </x:c>
      <x:c r="F12" s="16" t="n">
        <x:v>21</x:v>
      </x:c>
      <x:c r="G12" s="16" t="n">
        <x:v>63</x:v>
      </x:c>
      <x:c r="H12" s="16" t="n">
        <x:v>142.8222200082834</x:v>
      </x:c>
      <x:c r="I12" s="16" t="n">
        <x:v>285.6444400165668</x:v>
      </x:c>
      <x:c r="J12" s="17" t="n">
        <x:v>17.50427909505261</x:v>
      </x:c>
    </x:row>
    <x:row r="13" ht="15" hidden="0" customHeight="1">
      <x:c r="A13" s="15" t="str">
        <x:v>replica_02</x:v>
      </x:c>
      <x:c r="B13" s="16" t="str">
        <x:v>rmsd</x:v>
      </x:c>
      <x:c r="C13" s="16" t="n">
        <x:v>5000</x:v>
      </x:c>
      <x:c r="D13" s="16" t="n">
        <x:v>3.80429528</x:v>
      </x:c>
      <x:c r="E13" s="16" t="n">
        <x:v>1.0087283366363553</x:v>
      </x:c>
      <x:c r="F13" s="16" t="n">
        <x:v>0</x:v>
      </x:c>
      <x:c r="G13" s="16" t="n">
        <x:v>6.4636</x:v>
      </x:c>
      <x:c r="H13" s="16" t="n">
        <x:v>475.39621235260137</x:v>
      </x:c>
      <x:c r="I13" s="16" t="n">
        <x:v>950.7924247052027</x:v>
      </x:c>
      <x:c r="J13" s="17" t="n">
        <x:v>5.258771389086605</x:v>
      </x:c>
    </x:row>
    <x:row r="14" ht="15" hidden="0" customHeight="1">
      <x:c r="A14" s="15" t="str">
        <x:v>replica_02</x:v>
      </x:c>
      <x:c r="B14" s="16" t="str">
        <x:v>rg</x:v>
      </x:c>
      <x:c r="C14" s="16" t="n">
        <x:v>5000</x:v>
      </x:c>
      <x:c r="D14" s="16" t="n">
        <x:v>9.31150792</x:v>
      </x:c>
      <x:c r="E14" s="16" t="n">
        <x:v>0.26435191218519455</x:v>
      </x:c>
      <x:c r="F14" s="16" t="n">
        <x:v>8.4441</x:v>
      </x:c>
      <x:c r="G14" s="16" t="n">
        <x:v>10.1198</x:v>
      </x:c>
      <x:c r="H14" s="16" t="n">
        <x:v>217.09520785322562</x:v>
      </x:c>
      <x:c r="I14" s="16" t="n">
        <x:v>434.19041570645123</x:v>
      </x:c>
      <x:c r="J14" s="17" t="n">
        <x:v>11.515684868042815</x:v>
      </x:c>
    </x:row>
    <x:row r="15" ht="15" hidden="0" customHeight="1">
      <x:c r="A15" s="15" t="str">
        <x:v>replica_02</x:v>
      </x:c>
      <x:c r="B15" s="16" t="str">
        <x:v>end_to_end</x:v>
      </x:c>
      <x:c r="C15" s="16" t="n">
        <x:v>5000</x:v>
      </x:c>
      <x:c r="D15" s="16" t="n">
        <x:v>23.715608640000003</x:v>
      </x:c>
      <x:c r="E15" s="16" t="n">
        <x:v>1.59668361487508</x:v>
      </x:c>
      <x:c r="F15" s="16" t="n">
        <x:v>17.7668</x:v>
      </x:c>
      <x:c r="G15" s="16" t="n">
        <x:v>27.9602</x:v>
      </x:c>
      <x:c r="H15" s="16" t="n">
        <x:v>71.3582277973262</x:v>
      </x:c>
      <x:c r="I15" s="16" t="n">
        <x:v>142.7164555946524</x:v>
      </x:c>
      <x:c r="J15" s="17" t="n">
        <x:v>35.03450235760585</x:v>
      </x:c>
    </x:row>
    <x:row r="16" ht="15" hidden="0" customHeight="1">
      <x:c r="A16" s="15" t="str">
        <x:v>replica_02</x:v>
      </x:c>
      <x:c r="B16" s="16" t="str">
        <x:v>head_selected</x:v>
      </x:c>
      <x:c r="C16" s="16" t="n">
        <x:v>5000</x:v>
      </x:c>
      <x:c r="D16" s="16" t="n">
        <x:v>11.1577224</x:v>
      </x:c>
      <x:c r="E16" s="16" t="n">
        <x:v>4.629529086597358</x:v>
      </x:c>
      <x:c r="F16" s="16" t="n">
        <x:v>3.53</x:v>
      </x:c>
      <x:c r="G16" s="16" t="n">
        <x:v>23.335</x:v>
      </x:c>
      <x:c r="H16" s="16" t="n">
        <x:v>687.9447765540863</x:v>
      </x:c>
      <x:c r="I16" s="16" t="n">
        <x:v>1375.8895531081725</x:v>
      </x:c>
      <x:c r="J16" s="17" t="n">
        <x:v>3.6340126202025895</x:v>
      </x:c>
    </x:row>
    <x:row r="17" ht="15" hidden="0" customHeight="1">
      <x:c r="A17" s="15" t="str">
        <x:v>replica_02</x:v>
      </x:c>
      <x:c r="B17" s="16" t="str">
        <x:v>head_any</x:v>
      </x:c>
      <x:c r="C17" s="16" t="n">
        <x:v>5000</x:v>
      </x:c>
      <x:c r="D17" s="16" t="n">
        <x:v>5.1484820000000004</x:v>
      </x:c>
      <x:c r="E17" s="16" t="n">
        <x:v>0.8763068827908208</x:v>
      </x:c>
      <x:c r="F17" s="16" t="n">
        <x:v>3.314</x:v>
      </x:c>
      <x:c r="G17" s="16" t="n">
        <x:v>8.231</x:v>
      </x:c>
      <x:c r="H17" s="16" t="n">
        <x:v>15.276589027508868</x:v>
      </x:c>
      <x:c r="I17" s="16" t="n">
        <x:v>30.553178055017735</x:v>
      </x:c>
      <x:c r="J17" s="17" t="n">
        <x:v>163.64909702671184</x:v>
      </x:c>
    </x:row>
    <x:row r="18" ht="15" hidden="0" customHeight="1">
      <x:c r="A18" s="15" t="str">
        <x:v>replica_02</x:v>
      </x:c>
      <x:c r="B18" s="16" t="str">
        <x:v>pfoa_polymer</x:v>
      </x:c>
      <x:c r="C18" s="16" t="n">
        <x:v>5000</x:v>
      </x:c>
      <x:c r="D18" s="16" t="n">
        <x:v>3.0135342</x:v>
      </x:c>
      <x:c r="E18" s="16" t="n">
        <x:v>0.14040973829931405</x:v>
      </x:c>
      <x:c r="F18" s="16" t="n">
        <x:v>2.611</x:v>
      </x:c>
      <x:c r="G18" s="16" t="n">
        <x:v>3.719</x:v>
      </x:c>
      <x:c r="H18" s="16" t="n">
        <x:v>8.6762748459989</x:v>
      </x:c>
      <x:c r="I18" s="16" t="n">
        <x:v>17.3525496919978</x:v>
      </x:c>
      <x:c r="J18" s="17" t="n">
        <x:v>288.1420937411734</x:v>
      </x:c>
    </x:row>
    <x:row r="19" ht="15" hidden="0" customHeight="1">
      <x:c r="A19" s="15" t="str">
        <x:v>replica_02</x:v>
      </x:c>
      <x:c r="B19" s="16" t="str">
        <x:v>polymer_image</x:v>
      </x:c>
      <x:c r="C19" s="16" t="n">
        <x:v>5000</x:v>
      </x:c>
      <x:c r="D19" s="16" t="n">
        <x:v>28.02557952</x:v>
      </x:c>
      <x:c r="E19" s="16" t="n">
        <x:v>3.097865629517891</x:v>
      </x:c>
      <x:c r="F19" s="16" t="n">
        <x:v>18.3227</x:v>
      </x:c>
      <x:c r="G19" s="16" t="n">
        <x:v>35.8946</x:v>
      </x:c>
      <x:c r="H19" s="16" t="n">
        <x:v>123.87942906339732</x:v>
      </x:c>
      <x:c r="I19" s="16" t="n">
        <x:v>247.75885812679465</x:v>
      </x:c>
      <x:c r="J19" s="17" t="n">
        <x:v>20.180913158072308</x:v>
      </x:c>
    </x:row>
    <x:row r="20" ht="15" hidden="0" customHeight="1">
      <x:c r="A20" s="15" t="str">
        <x:v>replica_02</x:v>
      </x:c>
      <x:c r="B20" s="16" t="str">
        <x:v>pfoa_image</x:v>
      </x:c>
      <x:c r="C20" s="16" t="n">
        <x:v>5000</x:v>
      </x:c>
      <x:c r="D20" s="16" t="n">
        <x:v>45.4767581</x:v>
      </x:c>
      <x:c r="E20" s="16" t="n">
        <x:v>1.5525750177287811</x:v>
      </x:c>
      <x:c r="F20" s="16" t="n">
        <x:v>40.5835</x:v>
      </x:c>
      <x:c r="G20" s="16" t="n">
        <x:v>48.1094</x:v>
      </x:c>
      <x:c r="H20" s="16" t="n">
        <x:v>99.80633017808704</x:v>
      </x:c>
      <x:c r="I20" s="16" t="n">
        <x:v>199.61266035617408</x:v>
      </x:c>
      <x:c r="J20" s="17" t="n">
        <x:v>25.048511407434628</x:v>
      </x:c>
    </x:row>
    <x:row r="21" ht="15" hidden="0" customHeight="1">
      <x:c r="A21" s="15" t="str">
        <x:v>replica_02</x:v>
      </x:c>
      <x:c r="B21" s="16" t="str">
        <x:v>tail_contacts</x:v>
      </x:c>
      <x:c r="C21" s="16" t="n">
        <x:v>5000</x:v>
      </x:c>
      <x:c r="D21" s="16" t="n">
        <x:v>15.492</x:v>
      </x:c>
      <x:c r="E21" s="16" t="n">
        <x:v>4.123655769748668</x:v>
      </x:c>
      <x:c r="F21" s="16" t="n">
        <x:v>1</x:v>
      </x:c>
      <x:c r="G21" s="16" t="n">
        <x:v>32</x:v>
      </x:c>
      <x:c r="H21" s="16" t="n">
        <x:v>60.601556160538294</x:v>
      </x:c>
      <x:c r="I21" s="16" t="n">
        <x:v>121.20311232107659</x:v>
      </x:c>
      <x:c r="J21" s="17" t="n">
        <x:v>41.25306606611393</x:v>
      </x:c>
    </x:row>
    <x:row r="22" ht="15" hidden="0" customHeight="1">
      <x:c r="A22" s="15" t="str">
        <x:v>replica_02</x:v>
      </x:c>
      <x:c r="B22" s="16" t="str">
        <x:v>tail_waters</x:v>
      </x:c>
      <x:c r="C22" s="16" t="n">
        <x:v>5000</x:v>
      </x:c>
      <x:c r="D22" s="16" t="n">
        <x:v>36.0572</x:v>
      </x:c>
      <x:c r="E22" s="16" t="n">
        <x:v>4.96681608401222</x:v>
      </x:c>
      <x:c r="F22" s="16" t="n">
        <x:v>22</x:v>
      </x:c>
      <x:c r="G22" s="16" t="n">
        <x:v>53</x:v>
      </x:c>
      <x:c r="H22" s="16" t="n">
        <x:v>92.82869754615912</x:v>
      </x:c>
      <x:c r="I22" s="16" t="n">
        <x:v>185.65739509231824</x:v>
      </x:c>
      <x:c r="J22" s="17" t="n">
        <x:v>26.93132690735937</x:v>
      </x:c>
    </x:row>
    <x:row r="23" ht="15" hidden="0" customHeight="1">
      <x:c r="A23" s="15" t="str">
        <x:v>replica_03</x:v>
      </x:c>
      <x:c r="B23" s="16" t="str">
        <x:v>rmsd</x:v>
      </x:c>
      <x:c r="C23" s="16" t="n">
        <x:v>5000</x:v>
      </x:c>
      <x:c r="D23" s="16" t="n">
        <x:v>4.049282359999999</x:v>
      </x:c>
      <x:c r="E23" s="16" t="n">
        <x:v>0.8320107063805949</x:v>
      </x:c>
      <x:c r="F23" s="16" t="n">
        <x:v>0</x:v>
      </x:c>
      <x:c r="G23" s="16" t="n">
        <x:v>6.263</x:v>
      </x:c>
      <x:c r="H23" s="16" t="n">
        <x:v>262.0982465751187</x:v>
      </x:c>
      <x:c r="I23" s="16" t="n">
        <x:v>524.1964931502374</x:v>
      </x:c>
      <x:c r="J23" s="17" t="n">
        <x:v>9.538407954528179</x:v>
      </x:c>
    </x:row>
    <x:row r="24" ht="15" hidden="0" customHeight="1">
      <x:c r="A24" s="15" t="str">
        <x:v>replica_03</x:v>
      </x:c>
      <x:c r="B24" s="16" t="str">
        <x:v>rg</x:v>
      </x:c>
      <x:c r="C24" s="16" t="n">
        <x:v>5000</x:v>
      </x:c>
      <x:c r="D24" s="16" t="n">
        <x:v>9.29256722</x:v>
      </x:c>
      <x:c r="E24" s="16" t="n">
        <x:v>0.21592670309087095</x:v>
      </x:c>
      <x:c r="F24" s="16" t="n">
        <x:v>8.62</x:v>
      </x:c>
      <x:c r="G24" s="16" t="n">
        <x:v>10.0145</x:v>
      </x:c>
      <x:c r="H24" s="16" t="n">
        <x:v>124.83837128540235</x:v>
      </x:c>
      <x:c r="I24" s="16" t="n">
        <x:v>249.6767425708047</x:v>
      </x:c>
      <x:c r="J24" s="17" t="n">
        <x:v>20.02589407614557</x:v>
      </x:c>
    </x:row>
    <x:row r="25" ht="15" hidden="0" customHeight="1">
      <x:c r="A25" s="15" t="str">
        <x:v>replica_03</x:v>
      </x:c>
      <x:c r="B25" s="16" t="str">
        <x:v>end_to_end</x:v>
      </x:c>
      <x:c r="C25" s="16" t="n">
        <x:v>5000</x:v>
      </x:c>
      <x:c r="D25" s="16" t="n">
        <x:v>23.23055314</x:v>
      </x:c>
      <x:c r="E25" s="16" t="n">
        <x:v>2.771617341300826</x:v>
      </x:c>
      <x:c r="F25" s="16" t="n">
        <x:v>15.1474</x:v>
      </x:c>
      <x:c r="G25" s="16" t="n">
        <x:v>28.0718</x:v>
      </x:c>
      <x:c r="H25" s="16" t="n">
        <x:v>422.4693304108492</x:v>
      </x:c>
      <x:c r="I25" s="16" t="n">
        <x:v>844.9386608216984</x:v>
      </x:c>
      <x:c r="J25" s="17" t="n">
        <x:v>5.917589325522786</x:v>
      </x:c>
    </x:row>
    <x:row r="26" ht="15" hidden="0" customHeight="1">
      <x:c r="A26" s="18" t="str">
        <x:v>replica_03</x:v>
      </x:c>
      <x:c r="B26" s="19" t="str">
        <x:v>head_selected</x:v>
      </x:c>
      <x:c r="C26" s="19" t="n">
        <x:v>5000</x:v>
      </x:c>
      <x:c r="D26" s="19" t="n">
        <x:v>8.0087834</x:v>
      </x:c>
      <x:c r="E26" s="19" t="n">
        <x:v>2.509503174200165</x:v>
      </x:c>
      <x:c r="F26" s="19" t="n">
        <x:v>3.472</x:v>
      </x:c>
      <x:c r="G26" s="19" t="n">
        <x:v>18.954</x:v>
      </x:c>
      <x:c r="H26" s="19" t="n">
        <x:v>375.8503575300841</x:v>
      </x:c>
      <x:c r="I26" s="19" t="n">
        <x:v>751.7007150601682</x:v>
      </x:c>
      <x:c r="J26" s="20" t="n">
        <x:v>6.651583402577694</x:v>
      </x:c>
    </x:row>
    <x:row r="27" ht="19" customHeight="1">
      <x:c r="A27" s="45" t="str">
        <x:v>replica_03</x:v>
      </x:c>
      <x:c r="B27" s="45" t="str">
        <x:v>head_any</x:v>
      </x:c>
      <x:c r="C27" s="45" t="n">
        <x:v>5000</x:v>
      </x:c>
      <x:c r="D27" s="45" t="n">
        <x:v>5.0545856</x:v>
      </x:c>
      <x:c r="E27" s="45" t="n">
        <x:v>0.9097377646512904</x:v>
      </x:c>
      <x:c r="F27" s="45" t="n">
        <x:v>3.298</x:v>
      </x:c>
      <x:c r="G27" s="45" t="n">
        <x:v>8.181</x:v>
      </x:c>
      <x:c r="H27" s="45" t="n">
        <x:v>65.17196176061319</x:v>
      </x:c>
      <x:c r="I27" s="45" t="n">
        <x:v>130.34392352122637</x:v>
      </x:c>
      <x:c r="J27" s="45" t="n">
        <x:v>38.360054423141214</x:v>
      </x:c>
    </x:row>
    <x:row r="28" ht="19" customHeight="1">
      <x:c r="A28" s="45" t="str">
        <x:v>replica_03</x:v>
      </x:c>
      <x:c r="B28" s="45" t="str">
        <x:v>pfoa_polymer</x:v>
      </x:c>
      <x:c r="C28" s="45" t="n">
        <x:v>5000</x:v>
      </x:c>
      <x:c r="D28" s="45" t="n">
        <x:v>2.9736094</x:v>
      </x:c>
      <x:c r="E28" s="45" t="n">
        <x:v>0.12273812024335462</x:v>
      </x:c>
      <x:c r="F28" s="45" t="n">
        <x:v>2.582</x:v>
      </x:c>
      <x:c r="G28" s="45" t="n">
        <x:v>3.508</x:v>
      </x:c>
      <x:c r="H28" s="45" t="n">
        <x:v>1.4618010236451753</x:v>
      </x:c>
      <x:c r="I28" s="45" t="n">
        <x:v>2.9236020472903506</x:v>
      </x:c>
      <x:c r="J28" s="45" t="n">
        <x:v>1710.2190787676093</x:v>
      </x:c>
    </x:row>
    <x:row r="29" ht="19" customHeight="1">
      <x:c r="A29" s="45" t="str">
        <x:v>replica_03</x:v>
      </x:c>
      <x:c r="B29" s="45" t="str">
        <x:v>polymer_image</x:v>
      </x:c>
      <x:c r="C29" s="45" t="n">
        <x:v>5000</x:v>
      </x:c>
      <x:c r="D29" s="45" t="n">
        <x:v>30.24050492</x:v>
      </x:c>
      <x:c r="E29" s="45" t="n">
        <x:v>2.684327211736253</x:v>
      </x:c>
      <x:c r="F29" s="45" t="n">
        <x:v>21.2031</x:v>
      </x:c>
      <x:c r="G29" s="45" t="n">
        <x:v>35.9831</x:v>
      </x:c>
      <x:c r="H29" s="45" t="n">
        <x:v>85.64208522582601</x:v>
      </x:c>
      <x:c r="I29" s="45" t="n">
        <x:v>171.28417045165202</x:v>
      </x:c>
      <x:c r="J29" s="45" t="n">
        <x:v>29.191255600653058</x:v>
      </x:c>
    </x:row>
    <x:row r="30" ht="19" customHeight="1">
      <x:c r="A30" s="45" t="str">
        <x:v>replica_03</x:v>
      </x:c>
      <x:c r="B30" s="45" t="str">
        <x:v>pfoa_image</x:v>
      </x:c>
      <x:c r="C30" s="45" t="n">
        <x:v>5000</x:v>
      </x:c>
      <x:c r="D30" s="45" t="n">
        <x:v>45.10434942</x:v>
      </x:c>
      <x:c r="E30" s="45" t="n">
        <x:v>1.7870251909232457</x:v>
      </x:c>
      <x:c r="F30" s="45" t="n">
        <x:v>40.8679</x:v>
      </x:c>
      <x:c r="G30" s="45" t="n">
        <x:v>48.0078</x:v>
      </x:c>
      <x:c r="H30" s="45" t="n">
        <x:v>134.06781747629594</x:v>
      </x:c>
      <x:c r="I30" s="45" t="n">
        <x:v>268.1356349525919</x:v>
      </x:c>
      <x:c r="J30" s="45" t="n">
        <x:v>18.647279019381486</x:v>
      </x:c>
    </x:row>
    <x:row r="31" ht="19" customHeight="1">
      <x:c r="A31" s="45" t="str">
        <x:v>replica_03</x:v>
      </x:c>
      <x:c r="B31" s="45" t="str">
        <x:v>tail_contacts</x:v>
      </x:c>
      <x:c r="C31" s="45" t="n">
        <x:v>5000</x:v>
      </x:c>
      <x:c r="D31" s="45" t="n">
        <x:v>18.008</x:v>
      </x:c>
      <x:c r="E31" s="45" t="n">
        <x:v>4.28144860537086</x:v>
      </x:c>
      <x:c r="F31" s="45" t="n">
        <x:v>3</x:v>
      </x:c>
      <x:c r="G31" s="45" t="n">
        <x:v>35</x:v>
      </x:c>
      <x:c r="H31" s="45" t="n">
        <x:v>124.66684734684777</x:v>
      </x:c>
      <x:c r="I31" s="45" t="n">
        <x:v>249.33369469369555</x:v>
      </x:c>
      <x:c r="J31" s="45" t="n">
        <x:v>20.053446872242677</x:v>
      </x:c>
    </x:row>
    <x:row r="32" ht="19" customHeight="1">
      <x:c r="A32" s="45" t="str">
        <x:v>replica_03</x:v>
      </x:c>
      <x:c r="B32" s="45" t="str">
        <x:v>tail_waters</x:v>
      </x:c>
      <x:c r="C32" s="45" t="n">
        <x:v>5000</x:v>
      </x:c>
      <x:c r="D32" s="45" t="n">
        <x:v>36.226</x:v>
      </x:c>
      <x:c r="E32" s="45" t="n">
        <x:v>4.893926246156614</x:v>
      </x:c>
      <x:c r="F32" s="45" t="n">
        <x:v>21</x:v>
      </x:c>
      <x:c r="G32" s="45" t="n">
        <x:v>51</x:v>
      </x:c>
      <x:c r="H32" s="45" t="n">
        <x:v>147.70347425100312</x:v>
      </x:c>
      <x:c r="I32" s="45" t="n">
        <x:v>295.40694850200623</x:v>
      </x:c>
      <x:c r="J32" s="45" t="n">
        <x:v>16.9258036256586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5.11000061035156" hidden="0" customWidth="1"/>
    <x:col min="2" max="2" width="7.559999942779541" hidden="0" customWidth="1"/>
    <x:col min="3" max="3" width="11.670000076293945" hidden="0" customWidth="1"/>
    <x:col min="4" max="4" width="9.109999656677246" hidden="0" customWidth="1"/>
    <x:col min="5" max="5" width="10" hidden="0" customWidth="1"/>
  </x:cols>
  <x:sheetData>
    <x:row r="1" ht="15" hidden="0" customHeight="1">
      <x:c r="A1" s="21" t="str">
        <x:v>Table S8. One-nanosecond block summaries</x:v>
      </x:c>
      <x:c r="B1" s="22"/>
      <x:c r="C1" s="22"/>
      <x:c r="D1" s="22"/>
      <x:c r="E1" s="23"/>
    </x:row>
    <x:row r="2" ht="42" hidden="0" customHeight="1">
      <x:c r="A2" s="38" t="str">
        <x:v>replica</x:v>
      </x:c>
      <x:c r="B2" s="39" t="str">
        <x:v>block_ns</x:v>
      </x:c>
      <x:c r="C2" s="39" t="str">
        <x:v>metric</x:v>
      </x:c>
      <x:c r="D2" s="39" t="str">
        <x:v>mean</x:v>
      </x:c>
      <x:c r="E2" s="40" t="str">
        <x:v>sd</x:v>
      </x:c>
    </x:row>
    <x:row r="3" ht="15" hidden="0" customHeight="1">
      <x:c r="A3" s="15" t="str">
        <x:v>replica_01</x:v>
      </x:c>
      <x:c r="B3" s="16" t="n">
        <x:v>1</x:v>
      </x:c>
      <x:c r="C3" s="16" t="str">
        <x:v>rmsd</x:v>
      </x:c>
      <x:c r="D3" s="16" t="n">
        <x:v>3.0366473999999997</x:v>
      </x:c>
      <x:c r="E3" s="17" t="n">
        <x:v>1.1054234721947052</x:v>
      </x:c>
    </x:row>
    <x:row r="4" ht="15" hidden="0" customHeight="1">
      <x:c r="A4" s="15" t="str">
        <x:v>replica_01</x:v>
      </x:c>
      <x:c r="B4" s="16" t="n">
        <x:v>2</x:v>
      </x:c>
      <x:c r="C4" s="16" t="str">
        <x:v>rmsd</x:v>
      </x:c>
      <x:c r="D4" s="16" t="n">
        <x:v>5.082637999999999</x:v>
      </x:c>
      <x:c r="E4" s="17" t="n">
        <x:v>0.6695860436536228</x:v>
      </x:c>
    </x:row>
    <x:row r="5" ht="15" hidden="0" customHeight="1">
      <x:c r="A5" s="15" t="str">
        <x:v>replica_01</x:v>
      </x:c>
      <x:c r="B5" s="16" t="n">
        <x:v>3</x:v>
      </x:c>
      <x:c r="C5" s="16" t="str">
        <x:v>rmsd</x:v>
      </x:c>
      <x:c r="D5" s="16" t="n">
        <x:v>4.864951000000001</x:v>
      </x:c>
      <x:c r="E5" s="17" t="n">
        <x:v>0.4409043677511077</x:v>
      </x:c>
    </x:row>
    <x:row r="6" ht="15" hidden="0" customHeight="1">
      <x:c r="A6" s="15" t="str">
        <x:v>replica_01</x:v>
      </x:c>
      <x:c r="B6" s="16" t="n">
        <x:v>4</x:v>
      </x:c>
      <x:c r="C6" s="16" t="str">
        <x:v>rmsd</x:v>
      </x:c>
      <x:c r="D6" s="16" t="n">
        <x:v>4.2459234</x:v>
      </x:c>
      <x:c r="E6" s="17" t="n">
        <x:v>0.46278992004215613</x:v>
      </x:c>
    </x:row>
    <x:row r="7" ht="15" hidden="0" customHeight="1">
      <x:c r="A7" s="15" t="str">
        <x:v>replica_01</x:v>
      </x:c>
      <x:c r="B7" s="16" t="n">
        <x:v>5</x:v>
      </x:c>
      <x:c r="C7" s="16" t="str">
        <x:v>rmsd</x:v>
      </x:c>
      <x:c r="D7" s="16" t="n">
        <x:v>4.601803</x:v>
      </x:c>
      <x:c r="E7" s="17" t="n">
        <x:v>0.2965440660293077</x:v>
      </x:c>
    </x:row>
    <x:row r="8" ht="15" hidden="0" customHeight="1">
      <x:c r="A8" s="15" t="str">
        <x:v>replica_01</x:v>
      </x:c>
      <x:c r="B8" s="16" t="n">
        <x:v>6</x:v>
      </x:c>
      <x:c r="C8" s="16" t="str">
        <x:v>rmsd</x:v>
      </x:c>
      <x:c r="D8" s="16" t="n">
        <x:v>5.3672842</x:v>
      </x:c>
      <x:c r="E8" s="17" t="n">
        <x:v>0.480532844621343</x:v>
      </x:c>
    </x:row>
    <x:row r="9" ht="15" hidden="0" customHeight="1">
      <x:c r="A9" s="15" t="str">
        <x:v>replica_01</x:v>
      </x:c>
      <x:c r="B9" s="16" t="n">
        <x:v>7</x:v>
      </x:c>
      <x:c r="C9" s="16" t="str">
        <x:v>rmsd</x:v>
      </x:c>
      <x:c r="D9" s="16" t="n">
        <x:v>4.97511</x:v>
      </x:c>
      <x:c r="E9" s="17" t="n">
        <x:v>0.2853943571589957</x:v>
      </x:c>
    </x:row>
    <x:row r="10" ht="15" hidden="0" customHeight="1">
      <x:c r="A10" s="15" t="str">
        <x:v>replica_01</x:v>
      </x:c>
      <x:c r="B10" s="16" t="n">
        <x:v>8</x:v>
      </x:c>
      <x:c r="C10" s="16" t="str">
        <x:v>rmsd</x:v>
      </x:c>
      <x:c r="D10" s="16" t="n">
        <x:v>4.8816016</x:v>
      </x:c>
      <x:c r="E10" s="17" t="n">
        <x:v>0.4038127597877199</x:v>
      </x:c>
    </x:row>
    <x:row r="11" ht="15" hidden="0" customHeight="1">
      <x:c r="A11" s="15" t="str">
        <x:v>replica_01</x:v>
      </x:c>
      <x:c r="B11" s="16" t="n">
        <x:v>9</x:v>
      </x:c>
      <x:c r="C11" s="16" t="str">
        <x:v>rmsd</x:v>
      </x:c>
      <x:c r="D11" s="16" t="n">
        <x:v>4.749562599999999</x:v>
      </x:c>
      <x:c r="E11" s="17" t="n">
        <x:v>0.2933206633094378</x:v>
      </x:c>
    </x:row>
    <x:row r="12" ht="15" hidden="0" customHeight="1">
      <x:c r="A12" s="15" t="str">
        <x:v>replica_01</x:v>
      </x:c>
      <x:c r="B12" s="16" t="n">
        <x:v>10</x:v>
      </x:c>
      <x:c r="C12" s="16" t="str">
        <x:v>rmsd</x:v>
      </x:c>
      <x:c r="D12" s="16" t="n">
        <x:v>5.0432968</x:v>
      </x:c>
      <x:c r="E12" s="17" t="n">
        <x:v>0.2968132487592797</x:v>
      </x:c>
    </x:row>
    <x:row r="13" ht="15" hidden="0" customHeight="1">
      <x:c r="A13" s="15" t="str">
        <x:v>replica_01</x:v>
      </x:c>
      <x:c r="B13" s="16" t="n">
        <x:v>1</x:v>
      </x:c>
      <x:c r="C13" s="16" t="str">
        <x:v>rg</x:v>
      </x:c>
      <x:c r="D13" s="16" t="n">
        <x:v>9.581197</x:v>
      </x:c>
      <x:c r="E13" s="17" t="n">
        <x:v>0.17659649150712264</x:v>
      </x:c>
    </x:row>
    <x:row r="14" ht="15" hidden="0" customHeight="1">
      <x:c r="A14" s="15" t="str">
        <x:v>replica_01</x:v>
      </x:c>
      <x:c r="B14" s="16" t="n">
        <x:v>2</x:v>
      </x:c>
      <x:c r="C14" s="16" t="str">
        <x:v>rg</x:v>
      </x:c>
      <x:c r="D14" s="16" t="n">
        <x:v>9.3502428</x:v>
      </x:c>
      <x:c r="E14" s="17" t="n">
        <x:v>0.23883981460854573</x:v>
      </x:c>
    </x:row>
    <x:row r="15" ht="15" hidden="0" customHeight="1">
      <x:c r="A15" s="15" t="str">
        <x:v>replica_01</x:v>
      </x:c>
      <x:c r="B15" s="16" t="n">
        <x:v>3</x:v>
      </x:c>
      <x:c r="C15" s="16" t="str">
        <x:v>rg</x:v>
      </x:c>
      <x:c r="D15" s="16" t="n">
        <x:v>9.4636382</x:v>
      </x:c>
      <x:c r="E15" s="17" t="n">
        <x:v>0.1782034408574281</x:v>
      </x:c>
    </x:row>
    <x:row r="16" ht="15" hidden="0" customHeight="1">
      <x:c r="A16" s="15" t="str">
        <x:v>replica_01</x:v>
      </x:c>
      <x:c r="B16" s="16" t="n">
        <x:v>4</x:v>
      </x:c>
      <x:c r="C16" s="16" t="str">
        <x:v>rg</x:v>
      </x:c>
      <x:c r="D16" s="16" t="n">
        <x:v>9.3980396</x:v>
      </x:c>
      <x:c r="E16" s="17" t="n">
        <x:v>0.2783923336853038</x:v>
      </x:c>
    </x:row>
    <x:row r="17" ht="15" hidden="0" customHeight="1">
      <x:c r="A17" s="15" t="str">
        <x:v>replica_01</x:v>
      </x:c>
      <x:c r="B17" s="16" t="n">
        <x:v>5</x:v>
      </x:c>
      <x:c r="C17" s="16" t="str">
        <x:v>rg</x:v>
      </x:c>
      <x:c r="D17" s="16" t="n">
        <x:v>9.308011</x:v>
      </x:c>
      <x:c r="E17" s="17" t="n">
        <x:v>0.21040894855081735</x:v>
      </x:c>
    </x:row>
    <x:row r="18" ht="15" hidden="0" customHeight="1">
      <x:c r="A18" s="15" t="str">
        <x:v>replica_01</x:v>
      </x:c>
      <x:c r="B18" s="16" t="n">
        <x:v>6</x:v>
      </x:c>
      <x:c r="C18" s="16" t="str">
        <x:v>rg</x:v>
      </x:c>
      <x:c r="D18" s="16" t="n">
        <x:v>8.9012838</x:v>
      </x:c>
      <x:c r="E18" s="17" t="n">
        <x:v>0.24988554517806325</x:v>
      </x:c>
    </x:row>
    <x:row r="19" ht="15" hidden="0" customHeight="1">
      <x:c r="A19" s="15" t="str">
        <x:v>replica_01</x:v>
      </x:c>
      <x:c r="B19" s="16" t="n">
        <x:v>7</x:v>
      </x:c>
      <x:c r="C19" s="16" t="str">
        <x:v>rg</x:v>
      </x:c>
      <x:c r="D19" s="16" t="n">
        <x:v>9.338468</x:v>
      </x:c>
      <x:c r="E19" s="17" t="n">
        <x:v>0.21520770955638419</x:v>
      </x:c>
    </x:row>
    <x:row r="20" ht="15" hidden="0" customHeight="1">
      <x:c r="A20" s="15" t="str">
        <x:v>replica_01</x:v>
      </x:c>
      <x:c r="B20" s="16" t="n">
        <x:v>8</x:v>
      </x:c>
      <x:c r="C20" s="16" t="str">
        <x:v>rg</x:v>
      </x:c>
      <x:c r="D20" s="16" t="n">
        <x:v>9.2669966</x:v>
      </x:c>
      <x:c r="E20" s="17" t="n">
        <x:v>0.15631083059071726</x:v>
      </x:c>
    </x:row>
    <x:row r="21" ht="15" hidden="0" customHeight="1">
      <x:c r="A21" s="15" t="str">
        <x:v>replica_01</x:v>
      </x:c>
      <x:c r="B21" s="16" t="n">
        <x:v>9</x:v>
      </x:c>
      <x:c r="C21" s="16" t="str">
        <x:v>rg</x:v>
      </x:c>
      <x:c r="D21" s="16" t="n">
        <x:v>9.322750599999999</x:v>
      </x:c>
      <x:c r="E21" s="17" t="n">
        <x:v>0.17875255043835436</x:v>
      </x:c>
    </x:row>
    <x:row r="22" ht="15" hidden="0" customHeight="1">
      <x:c r="A22" s="15" t="str">
        <x:v>replica_01</x:v>
      </x:c>
      <x:c r="B22" s="16" t="n">
        <x:v>10</x:v>
      </x:c>
      <x:c r="C22" s="16" t="str">
        <x:v>rg</x:v>
      </x:c>
      <x:c r="D22" s="16" t="n">
        <x:v>9.418598600000001</x:v>
      </x:c>
      <x:c r="E22" s="17" t="n">
        <x:v>0.16817061172313869</x:v>
      </x:c>
    </x:row>
    <x:row r="23" ht="15" hidden="0" customHeight="1">
      <x:c r="A23" s="15" t="str">
        <x:v>replica_01</x:v>
      </x:c>
      <x:c r="B23" s="16" t="n">
        <x:v>1</x:v>
      </x:c>
      <x:c r="C23" s="16" t="str">
        <x:v>end_to_end</x:v>
      </x:c>
      <x:c r="D23" s="16" t="n">
        <x:v>23.3498074</x:v>
      </x:c>
      <x:c r="E23" s="17" t="n">
        <x:v>2.099680865865621</x:v>
      </x:c>
    </x:row>
    <x:row r="24" ht="15" hidden="0" customHeight="1">
      <x:c r="A24" s="15" t="str">
        <x:v>replica_01</x:v>
      </x:c>
      <x:c r="B24" s="16" t="n">
        <x:v>2</x:v>
      </x:c>
      <x:c r="C24" s="16" t="str">
        <x:v>end_to_end</x:v>
      </x:c>
      <x:c r="D24" s="16" t="n">
        <x:v>23.6649598</x:v>
      </x:c>
      <x:c r="E24" s="17" t="n">
        <x:v>1.794570914189816</x:v>
      </x:c>
    </x:row>
    <x:row r="25" ht="15" hidden="0" customHeight="1">
      <x:c r="A25" s="15" t="str">
        <x:v>replica_01</x:v>
      </x:c>
      <x:c r="B25" s="16" t="n">
        <x:v>3</x:v>
      </x:c>
      <x:c r="C25" s="16" t="str">
        <x:v>end_to_end</x:v>
      </x:c>
      <x:c r="D25" s="16" t="n">
        <x:v>26.507243000000003</x:v>
      </x:c>
      <x:c r="E25" s="17" t="n">
        <x:v>1.2947625982018498</x:v>
      </x:c>
    </x:row>
    <x:row r="26" ht="15" hidden="0" customHeight="1">
      <x:c r="A26" s="15" t="str">
        <x:v>replica_01</x:v>
      </x:c>
      <x:c r="B26" s="16" t="n">
        <x:v>4</x:v>
      </x:c>
      <x:c r="C26" s="16" t="str">
        <x:v>end_to_end</x:v>
      </x:c>
      <x:c r="D26" s="16" t="n">
        <x:v>26.4599216</x:v>
      </x:c>
      <x:c r="E26" s="17" t="n">
        <x:v>2.0029678447412915</x:v>
      </x:c>
    </x:row>
    <x:row r="27" ht="15" hidden="0" customHeight="1">
      <x:c r="A27" s="15" t="str">
        <x:v>replica_01</x:v>
      </x:c>
      <x:c r="B27" s="16" t="n">
        <x:v>5</x:v>
      </x:c>
      <x:c r="C27" s="16" t="str">
        <x:v>end_to_end</x:v>
      </x:c>
      <x:c r="D27" s="16" t="n">
        <x:v>24.720509200000002</x:v>
      </x:c>
      <x:c r="E27" s="17" t="n">
        <x:v>1.643742042804139</x:v>
      </x:c>
    </x:row>
    <x:row r="28" ht="15" hidden="0" customHeight="1">
      <x:c r="A28" s="15" t="str">
        <x:v>replica_01</x:v>
      </x:c>
      <x:c r="B28" s="16" t="n">
        <x:v>6</x:v>
      </x:c>
      <x:c r="C28" s="16" t="str">
        <x:v>end_to_end</x:v>
      </x:c>
      <x:c r="D28" s="16" t="n">
        <x:v>20.8797708</x:v>
      </x:c>
      <x:c r="E28" s="17" t="n">
        <x:v>2.5213865394639794</x:v>
      </x:c>
    </x:row>
    <x:row r="29" ht="15" hidden="0" customHeight="1">
      <x:c r="A29" s="15" t="str">
        <x:v>replica_01</x:v>
      </x:c>
      <x:c r="B29" s="16" t="n">
        <x:v>7</x:v>
      </x:c>
      <x:c r="C29" s="16" t="str">
        <x:v>end_to_end</x:v>
      </x:c>
      <x:c r="D29" s="16" t="n">
        <x:v>24.9468952</x:v>
      </x:c>
      <x:c r="E29" s="17" t="n">
        <x:v>1.7195009398488976</x:v>
      </x:c>
    </x:row>
    <x:row r="30" ht="15" hidden="0" customHeight="1">
      <x:c r="A30" s="15" t="str">
        <x:v>replica_01</x:v>
      </x:c>
      <x:c r="B30" s="16" t="n">
        <x:v>8</x:v>
      </x:c>
      <x:c r="C30" s="16" t="str">
        <x:v>end_to_end</x:v>
      </x:c>
      <x:c r="D30" s="16" t="n">
        <x:v>24.9382922</x:v>
      </x:c>
      <x:c r="E30" s="17" t="n">
        <x:v>1.1056774115971586</x:v>
      </x:c>
    </x:row>
    <x:row r="31" ht="15" hidden="0" customHeight="1">
      <x:c r="A31" s="15" t="str">
        <x:v>replica_01</x:v>
      </x:c>
      <x:c r="B31" s="16" t="n">
        <x:v>9</x:v>
      </x:c>
      <x:c r="C31" s="16" t="str">
        <x:v>end_to_end</x:v>
      </x:c>
      <x:c r="D31" s="16" t="n">
        <x:v>25.723683400000002</x:v>
      </x:c>
      <x:c r="E31" s="17" t="n">
        <x:v>1.1004571491059871</x:v>
      </x:c>
    </x:row>
    <x:row r="32" ht="15" hidden="0" customHeight="1">
      <x:c r="A32" s="15" t="str">
        <x:v>replica_01</x:v>
      </x:c>
      <x:c r="B32" s="16" t="n">
        <x:v>10</x:v>
      </x:c>
      <x:c r="C32" s="16" t="str">
        <x:v>end_to_end</x:v>
      </x:c>
      <x:c r="D32" s="16" t="n">
        <x:v>25.949313199999995</x:v>
      </x:c>
      <x:c r="E32" s="17" t="n">
        <x:v>1.0250811209826027</x:v>
      </x:c>
    </x:row>
    <x:row r="33" ht="15" hidden="0" customHeight="1">
      <x:c r="A33" s="15" t="str">
        <x:v>replica_01</x:v>
      </x:c>
      <x:c r="B33" s="16" t="n">
        <x:v>1</x:v>
      </x:c>
      <x:c r="C33" s="16" t="str">
        <x:v>head_selected</x:v>
      </x:c>
      <x:c r="D33" s="16" t="n">
        <x:v>8.14075</x:v>
      </x:c>
      <x:c r="E33" s="17" t="n">
        <x:v>1.4097186274989186</x:v>
      </x:c>
    </x:row>
    <x:row r="34" ht="15" hidden="0" customHeight="1">
      <x:c r="A34" s="15" t="str">
        <x:v>replica_01</x:v>
      </x:c>
      <x:c r="B34" s="16" t="n">
        <x:v>2</x:v>
      </x:c>
      <x:c r="C34" s="16" t="str">
        <x:v>head_selected</x:v>
      </x:c>
      <x:c r="D34" s="16" t="n">
        <x:v>6.930938</x:v>
      </x:c>
      <x:c r="E34" s="17" t="n">
        <x:v>1.570446580779545</x:v>
      </x:c>
    </x:row>
    <x:row r="35" ht="15" hidden="0" customHeight="1">
      <x:c r="A35" s="15" t="str">
        <x:v>replica_01</x:v>
      </x:c>
      <x:c r="B35" s="16" t="n">
        <x:v>3</x:v>
      </x:c>
      <x:c r="C35" s="16" t="str">
        <x:v>head_selected</x:v>
      </x:c>
      <x:c r="D35" s="16" t="n">
        <x:v>7.679806</x:v>
      </x:c>
      <x:c r="E35" s="17" t="n">
        <x:v>1.483804994899862</x:v>
      </x:c>
    </x:row>
    <x:row r="36" ht="15" hidden="0" customHeight="1">
      <x:c r="A36" s="15" t="str">
        <x:v>replica_01</x:v>
      </x:c>
      <x:c r="B36" s="16" t="n">
        <x:v>4</x:v>
      </x:c>
      <x:c r="C36" s="16" t="str">
        <x:v>head_selected</x:v>
      </x:c>
      <x:c r="D36" s="16" t="n">
        <x:v>8.457436</x:v>
      </x:c>
      <x:c r="E36" s="17" t="n">
        <x:v>2.3408403167839884</x:v>
      </x:c>
    </x:row>
    <x:row r="37" ht="15" hidden="0" customHeight="1">
      <x:c r="A37" s="15" t="str">
        <x:v>replica_01</x:v>
      </x:c>
      <x:c r="B37" s="16" t="n">
        <x:v>5</x:v>
      </x:c>
      <x:c r="C37" s="16" t="str">
        <x:v>head_selected</x:v>
      </x:c>
      <x:c r="D37" s="16" t="n">
        <x:v>9.279512</x:v>
      </x:c>
      <x:c r="E37" s="17" t="n">
        <x:v>2.4551861697460384</x:v>
      </x:c>
    </x:row>
    <x:row r="38" ht="15" hidden="0" customHeight="1">
      <x:c r="A38" s="15" t="str">
        <x:v>replica_01</x:v>
      </x:c>
      <x:c r="B38" s="16" t="n">
        <x:v>6</x:v>
      </x:c>
      <x:c r="C38" s="16" t="str">
        <x:v>head_selected</x:v>
      </x:c>
      <x:c r="D38" s="16" t="n">
        <x:v>8.903220000000001</x:v>
      </x:c>
      <x:c r="E38" s="17" t="n">
        <x:v>1.2109152998152486</x:v>
      </x:c>
    </x:row>
    <x:row r="39" ht="15" hidden="0" customHeight="1">
      <x:c r="A39" s="15" t="str">
        <x:v>replica_01</x:v>
      </x:c>
      <x:c r="B39" s="16" t="n">
        <x:v>7</x:v>
      </x:c>
      <x:c r="C39" s="16" t="str">
        <x:v>head_selected</x:v>
      </x:c>
      <x:c r="D39" s="16" t="n">
        <x:v>8.548108000000001</x:v>
      </x:c>
      <x:c r="E39" s="17" t="n">
        <x:v>2.0386786312361536</x:v>
      </x:c>
    </x:row>
    <x:row r="40" ht="15" hidden="0" customHeight="1">
      <x:c r="A40" s="15" t="str">
        <x:v>replica_01</x:v>
      </x:c>
      <x:c r="B40" s="16" t="n">
        <x:v>8</x:v>
      </x:c>
      <x:c r="C40" s="16" t="str">
        <x:v>head_selected</x:v>
      </x:c>
      <x:c r="D40" s="16" t="n">
        <x:v>6.333874</x:v>
      </x:c>
      <x:c r="E40" s="17" t="n">
        <x:v>1.3037262697732963</x:v>
      </x:c>
    </x:row>
    <x:row r="41" ht="15" hidden="0" customHeight="1">
      <x:c r="A41" s="15" t="str">
        <x:v>replica_01</x:v>
      </x:c>
      <x:c r="B41" s="16" t="n">
        <x:v>9</x:v>
      </x:c>
      <x:c r="C41" s="16" t="str">
        <x:v>head_selected</x:v>
      </x:c>
      <x:c r="D41" s="16" t="n">
        <x:v>9.683722</x:v>
      </x:c>
      <x:c r="E41" s="17" t="n">
        <x:v>4.132999483932266</x:v>
      </x:c>
    </x:row>
    <x:row r="42" ht="15" hidden="0" customHeight="1">
      <x:c r="A42" s="15" t="str">
        <x:v>replica_01</x:v>
      </x:c>
      <x:c r="B42" s="16" t="n">
        <x:v>10</x:v>
      </x:c>
      <x:c r="C42" s="16" t="str">
        <x:v>head_selected</x:v>
      </x:c>
      <x:c r="D42" s="16" t="n">
        <x:v>13.256967999999999</x:v>
      </x:c>
      <x:c r="E42" s="17" t="n">
        <x:v>3.166940663370031</x:v>
      </x:c>
    </x:row>
    <x:row r="43" ht="15" hidden="0" customHeight="1">
      <x:c r="A43" s="15" t="str">
        <x:v>replica_01</x:v>
      </x:c>
      <x:c r="B43" s="16" t="n">
        <x:v>1</x:v>
      </x:c>
      <x:c r="C43" s="16" t="str">
        <x:v>head_any</x:v>
      </x:c>
      <x:c r="D43" s="16" t="n">
        <x:v>5.176436</x:v>
      </x:c>
      <x:c r="E43" s="17" t="n">
        <x:v>0.8135579703045703</x:v>
      </x:c>
    </x:row>
    <x:row r="44" ht="15" hidden="0" customHeight="1">
      <x:c r="A44" s="15" t="str">
        <x:v>replica_01</x:v>
      </x:c>
      <x:c r="B44" s="16" t="n">
        <x:v>2</x:v>
      </x:c>
      <x:c r="C44" s="16" t="str">
        <x:v>head_any</x:v>
      </x:c>
      <x:c r="D44" s="16" t="n">
        <x:v>5.15975</x:v>
      </x:c>
      <x:c r="E44" s="17" t="n">
        <x:v>0.88177469726312</x:v>
      </x:c>
    </x:row>
    <x:row r="45" ht="15" hidden="0" customHeight="1">
      <x:c r="A45" s="15" t="str">
        <x:v>replica_01</x:v>
      </x:c>
      <x:c r="B45" s="16" t="n">
        <x:v>3</x:v>
      </x:c>
      <x:c r="C45" s="16" t="str">
        <x:v>head_any</x:v>
      </x:c>
      <x:c r="D45" s="16" t="n">
        <x:v>5.258287999999999</x:v>
      </x:c>
      <x:c r="E45" s="17" t="n">
        <x:v>0.9729216979370094</x:v>
      </x:c>
    </x:row>
    <x:row r="46" ht="15" hidden="0" customHeight="1">
      <x:c r="A46" s="15" t="str">
        <x:v>replica_01</x:v>
      </x:c>
      <x:c r="B46" s="16" t="n">
        <x:v>4</x:v>
      </x:c>
      <x:c r="C46" s="16" t="str">
        <x:v>head_any</x:v>
      </x:c>
      <x:c r="D46" s="16" t="n">
        <x:v>5.349906000000001</x:v>
      </x:c>
      <x:c r="E46" s="17" t="n">
        <x:v>0.8701966154053495</x:v>
      </x:c>
    </x:row>
    <x:row r="47" ht="15" hidden="0" customHeight="1">
      <x:c r="A47" s="15" t="str">
        <x:v>replica_01</x:v>
      </x:c>
      <x:c r="B47" s="16" t="n">
        <x:v>5</x:v>
      </x:c>
      <x:c r="C47" s="16" t="str">
        <x:v>head_any</x:v>
      </x:c>
      <x:c r="D47" s="16" t="n">
        <x:v>5.442799999999999</x:v>
      </x:c>
      <x:c r="E47" s="17" t="n">
        <x:v>0.8073113396939231</x:v>
      </x:c>
    </x:row>
    <x:row r="48" ht="15" hidden="0" customHeight="1">
      <x:c r="A48" s="15" t="str">
        <x:v>replica_01</x:v>
      </x:c>
      <x:c r="B48" s="16" t="n">
        <x:v>6</x:v>
      </x:c>
      <x:c r="C48" s="16" t="str">
        <x:v>head_any</x:v>
      </x:c>
      <x:c r="D48" s="16" t="n">
        <x:v>5.3018</x:v>
      </x:c>
      <x:c r="E48" s="17" t="n">
        <x:v>0.9242159088071273</x:v>
      </x:c>
    </x:row>
    <x:row r="49" ht="15" hidden="0" customHeight="1">
      <x:c r="A49" s="15" t="str">
        <x:v>replica_01</x:v>
      </x:c>
      <x:c r="B49" s="16" t="n">
        <x:v>7</x:v>
      </x:c>
      <x:c r="C49" s="16" t="str">
        <x:v>head_any</x:v>
      </x:c>
      <x:c r="D49" s="16" t="n">
        <x:v>5.079823999999999</x:v>
      </x:c>
      <x:c r="E49" s="17" t="n">
        <x:v>0.9887385503082862</x:v>
      </x:c>
    </x:row>
    <x:row r="50" ht="15" hidden="0" customHeight="1">
      <x:c r="A50" s="15" t="str">
        <x:v>replica_01</x:v>
      </x:c>
      <x:c r="B50" s="16" t="n">
        <x:v>8</x:v>
      </x:c>
      <x:c r="C50" s="16" t="str">
        <x:v>head_any</x:v>
      </x:c>
      <x:c r="D50" s="16" t="n">
        <x:v>4.98775</x:v>
      </x:c>
      <x:c r="E50" s="17" t="n">
        <x:v>0.7885378210907713</x:v>
      </x:c>
    </x:row>
    <x:row r="51" ht="15" hidden="0" customHeight="1">
      <x:c r="A51" s="15" t="str">
        <x:v>replica_01</x:v>
      </x:c>
      <x:c r="B51" s="16" t="n">
        <x:v>9</x:v>
      </x:c>
      <x:c r="C51" s="16" t="str">
        <x:v>head_any</x:v>
      </x:c>
      <x:c r="D51" s="16" t="n">
        <x:v>4.9051800000000005</x:v>
      </x:c>
      <x:c r="E51" s="17" t="n">
        <x:v>0.9355378997795053</x:v>
      </x:c>
    </x:row>
    <x:row r="52" ht="15" hidden="0" customHeight="1">
      <x:c r="A52" s="15" t="str">
        <x:v>replica_01</x:v>
      </x:c>
      <x:c r="B52" s="16" t="n">
        <x:v>10</x:v>
      </x:c>
      <x:c r="C52" s="16" t="str">
        <x:v>head_any</x:v>
      </x:c>
      <x:c r="D52" s="16" t="n">
        <x:v>4.98624</x:v>
      </x:c>
      <x:c r="E52" s="17" t="n">
        <x:v>1.0033160681785829</x:v>
      </x:c>
    </x:row>
    <x:row r="53" ht="15" hidden="0" customHeight="1">
      <x:c r="A53" s="15" t="str">
        <x:v>replica_01</x:v>
      </x:c>
      <x:c r="B53" s="16" t="n">
        <x:v>1</x:v>
      </x:c>
      <x:c r="C53" s="16" t="str">
        <x:v>pfoa_polymer</x:v>
      </x:c>
      <x:c r="D53" s="16" t="n">
        <x:v>2.975072</x:v>
      </x:c>
      <x:c r="E53" s="17" t="n">
        <x:v>0.12386471552263383</x:v>
      </x:c>
    </x:row>
    <x:row r="54" ht="15" hidden="0" customHeight="1">
      <x:c r="A54" s="15" t="str">
        <x:v>replica_01</x:v>
      </x:c>
      <x:c r="B54" s="16" t="n">
        <x:v>2</x:v>
      </x:c>
      <x:c r="C54" s="16" t="str">
        <x:v>pfoa_polymer</x:v>
      </x:c>
      <x:c r="D54" s="16" t="n">
        <x:v>2.9458779999999996</x:v>
      </x:c>
      <x:c r="E54" s="17" t="n">
        <x:v>0.11537744591579459</x:v>
      </x:c>
    </x:row>
    <x:row r="55" ht="15" hidden="0" customHeight="1">
      <x:c r="A55" s="15" t="str">
        <x:v>replica_01</x:v>
      </x:c>
      <x:c r="B55" s="16" t="n">
        <x:v>3</x:v>
      </x:c>
      <x:c r="C55" s="16" t="str">
        <x:v>pfoa_polymer</x:v>
      </x:c>
      <x:c r="D55" s="16" t="n">
        <x:v>2.962454</x:v>
      </x:c>
      <x:c r="E55" s="17" t="n">
        <x:v>0.12446011620213965</x:v>
      </x:c>
    </x:row>
    <x:row r="56" ht="15" hidden="0" customHeight="1">
      <x:c r="A56" s="15" t="str">
        <x:v>replica_01</x:v>
      </x:c>
      <x:c r="B56" s="16" t="n">
        <x:v>4</x:v>
      </x:c>
      <x:c r="C56" s="16" t="str">
        <x:v>pfoa_polymer</x:v>
      </x:c>
      <x:c r="D56" s="16" t="n">
        <x:v>2.98415</x:v>
      </x:c>
      <x:c r="E56" s="17" t="n">
        <x:v>0.12394995232497157</x:v>
      </x:c>
    </x:row>
    <x:row r="57" ht="15" hidden="0" customHeight="1">
      <x:c r="A57" s="15" t="str">
        <x:v>replica_01</x:v>
      </x:c>
      <x:c r="B57" s="16" t="n">
        <x:v>5</x:v>
      </x:c>
      <x:c r="C57" s="16" t="str">
        <x:v>pfoa_polymer</x:v>
      </x:c>
      <x:c r="D57" s="16" t="n">
        <x:v>2.985434</x:v>
      </x:c>
      <x:c r="E57" s="17" t="n">
        <x:v>0.12600452342613616</x:v>
      </x:c>
    </x:row>
    <x:row r="58" ht="15" hidden="0" customHeight="1">
      <x:c r="A58" s="15" t="str">
        <x:v>replica_01</x:v>
      </x:c>
      <x:c r="B58" s="16" t="n">
        <x:v>6</x:v>
      </x:c>
      <x:c r="C58" s="16" t="str">
        <x:v>pfoa_polymer</x:v>
      </x:c>
      <x:c r="D58" s="16" t="n">
        <x:v>2.990978</x:v>
      </x:c>
      <x:c r="E58" s="17" t="n">
        <x:v>0.13269488830684295</x:v>
      </x:c>
    </x:row>
    <x:row r="59" ht="15" hidden="0" customHeight="1">
      <x:c r="A59" s="15" t="str">
        <x:v>replica_01</x:v>
      </x:c>
      <x:c r="B59" s="16" t="n">
        <x:v>7</x:v>
      </x:c>
      <x:c r="C59" s="16" t="str">
        <x:v>pfoa_polymer</x:v>
      </x:c>
      <x:c r="D59" s="16" t="n">
        <x:v>3.068162</x:v>
      </x:c>
      <x:c r="E59" s="17" t="n">
        <x:v>0.15207351005655734</x:v>
      </x:c>
    </x:row>
    <x:row r="60" ht="15" hidden="0" customHeight="1">
      <x:c r="A60" s="15" t="str">
        <x:v>replica_01</x:v>
      </x:c>
      <x:c r="B60" s="16" t="n">
        <x:v>8</x:v>
      </x:c>
      <x:c r="C60" s="16" t="str">
        <x:v>pfoa_polymer</x:v>
      </x:c>
      <x:c r="D60" s="16" t="n">
        <x:v>3.0004519999999997</x:v>
      </x:c>
      <x:c r="E60" s="17" t="n">
        <x:v>0.12697778708429935</x:v>
      </x:c>
    </x:row>
    <x:row r="61" ht="15" hidden="0" customHeight="1">
      <x:c r="A61" s="15" t="str">
        <x:v>replica_01</x:v>
      </x:c>
      <x:c r="B61" s="16" t="n">
        <x:v>9</x:v>
      </x:c>
      <x:c r="C61" s="16" t="str">
        <x:v>pfoa_polymer</x:v>
      </x:c>
      <x:c r="D61" s="16" t="n">
        <x:v>3.0589459999999997</x:v>
      </x:c>
      <x:c r="E61" s="17" t="n">
        <x:v>0.15677990611658066</x:v>
      </x:c>
    </x:row>
    <x:row r="62" ht="15" hidden="0" customHeight="1">
      <x:c r="A62" s="15" t="str">
        <x:v>replica_01</x:v>
      </x:c>
      <x:c r="B62" s="16" t="n">
        <x:v>10</x:v>
      </x:c>
      <x:c r="C62" s="16" t="str">
        <x:v>pfoa_polymer</x:v>
      </x:c>
      <x:c r="D62" s="16" t="n">
        <x:v>3.086926</x:v>
      </x:c>
      <x:c r="E62" s="17" t="n">
        <x:v>0.16955384258420728</x:v>
      </x:c>
    </x:row>
    <x:row r="63" ht="15" hidden="0" customHeight="1">
      <x:c r="A63" s="15" t="str">
        <x:v>replica_01</x:v>
      </x:c>
      <x:c r="B63" s="16" t="n">
        <x:v>1</x:v>
      </x:c>
      <x:c r="C63" s="16" t="str">
        <x:v>polymer_image</x:v>
      </x:c>
      <x:c r="D63" s="16" t="n">
        <x:v>29.055984799999997</x:v>
      </x:c>
      <x:c r="E63" s="17" t="n">
        <x:v>1.972823438508377</x:v>
      </x:c>
    </x:row>
    <x:row r="64" ht="15" hidden="0" customHeight="1">
      <x:c r="A64" s="15" t="str">
        <x:v>replica_01</x:v>
      </x:c>
      <x:c r="B64" s="16" t="n">
        <x:v>2</x:v>
      </x:c>
      <x:c r="C64" s="16" t="str">
        <x:v>polymer_image</x:v>
      </x:c>
      <x:c r="D64" s="16" t="n">
        <x:v>30.814211600000004</x:v>
      </x:c>
      <x:c r="E64" s="17" t="n">
        <x:v>1.5563063130713217</x:v>
      </x:c>
    </x:row>
    <x:row r="65" ht="15" hidden="0" customHeight="1">
      <x:c r="A65" s="15" t="str">
        <x:v>replica_01</x:v>
      </x:c>
      <x:c r="B65" s="16" t="n">
        <x:v>3</x:v>
      </x:c>
      <x:c r="C65" s="16" t="str">
        <x:v>polymer_image</x:v>
      </x:c>
      <x:c r="D65" s="16" t="n">
        <x:v>30.203594799999998</x:v>
      </x:c>
      <x:c r="E65" s="17" t="n">
        <x:v>1.5425398197661182</x:v>
      </x:c>
    </x:row>
    <x:row r="66" ht="15" hidden="0" customHeight="1">
      <x:c r="A66" s="15" t="str">
        <x:v>replica_01</x:v>
      </x:c>
      <x:c r="B66" s="16" t="n">
        <x:v>4</x:v>
      </x:c>
      <x:c r="C66" s="16" t="str">
        <x:v>polymer_image</x:v>
      </x:c>
      <x:c r="D66" s="16" t="n">
        <x:v>29.5020372</x:v>
      </x:c>
      <x:c r="E66" s="17" t="n">
        <x:v>2.106451632831639</x:v>
      </x:c>
    </x:row>
    <x:row r="67" ht="15" hidden="0" customHeight="1">
      <x:c r="A67" s="15" t="str">
        <x:v>replica_01</x:v>
      </x:c>
      <x:c r="B67" s="16" t="n">
        <x:v>5</x:v>
      </x:c>
      <x:c r="C67" s="16" t="str">
        <x:v>polymer_image</x:v>
      </x:c>
      <x:c r="D67" s="16" t="n">
        <x:v>28.1096096</x:v>
      </x:c>
      <x:c r="E67" s="17" t="n">
        <x:v>3.3583082800534543</x:v>
      </x:c>
    </x:row>
    <x:row r="68" ht="15" hidden="0" customHeight="1">
      <x:c r="A68" s="15" t="str">
        <x:v>replica_01</x:v>
      </x:c>
      <x:c r="B68" s="16" t="n">
        <x:v>6</x:v>
      </x:c>
      <x:c r="C68" s="16" t="str">
        <x:v>polymer_image</x:v>
      </x:c>
      <x:c r="D68" s="16" t="n">
        <x:v>27.739091000000002</x:v>
      </x:c>
      <x:c r="E68" s="17" t="n">
        <x:v>1.761978488451699</x:v>
      </x:c>
    </x:row>
    <x:row r="69" ht="15" hidden="0" customHeight="1">
      <x:c r="A69" s="15" t="str">
        <x:v>replica_01</x:v>
      </x:c>
      <x:c r="B69" s="16" t="n">
        <x:v>7</x:v>
      </x:c>
      <x:c r="C69" s="16" t="str">
        <x:v>polymer_image</x:v>
      </x:c>
      <x:c r="D69" s="16" t="n">
        <x:v>27.366359</x:v>
      </x:c>
      <x:c r="E69" s="17" t="n">
        <x:v>2.758072408876208</x:v>
      </x:c>
    </x:row>
    <x:row r="70" ht="15" hidden="0" customHeight="1">
      <x:c r="A70" s="15" t="str">
        <x:v>replica_01</x:v>
      </x:c>
      <x:c r="B70" s="16" t="n">
        <x:v>8</x:v>
      </x:c>
      <x:c r="C70" s="16" t="str">
        <x:v>polymer_image</x:v>
      </x:c>
      <x:c r="D70" s="16" t="n">
        <x:v>29.5027494</x:v>
      </x:c>
      <x:c r="E70" s="17" t="n">
        <x:v>2.047364660652082</x:v>
      </x:c>
    </x:row>
    <x:row r="71" ht="15" hidden="0" customHeight="1">
      <x:c r="A71" s="15" t="str">
        <x:v>replica_01</x:v>
      </x:c>
      <x:c r="B71" s="16" t="n">
        <x:v>9</x:v>
      </x:c>
      <x:c r="C71" s="16" t="str">
        <x:v>polymer_image</x:v>
      </x:c>
      <x:c r="D71" s="16" t="n">
        <x:v>31.455812599999998</x:v>
      </x:c>
      <x:c r="E71" s="17" t="n">
        <x:v>1.328239953113644</x:v>
      </x:c>
    </x:row>
    <x:row r="72" ht="15" hidden="0" customHeight="1">
      <x:c r="A72" s="15" t="str">
        <x:v>replica_01</x:v>
      </x:c>
      <x:c r="B72" s="16" t="n">
        <x:v>10</x:v>
      </x:c>
      <x:c r="C72" s="16" t="str">
        <x:v>polymer_image</x:v>
      </x:c>
      <x:c r="D72" s="16" t="n">
        <x:v>28.9573704</x:v>
      </x:c>
      <x:c r="E72" s="17" t="n">
        <x:v>2.3964532308432553</x:v>
      </x:c>
    </x:row>
    <x:row r="73" ht="15" hidden="0" customHeight="1">
      <x:c r="A73" s="15" t="str">
        <x:v>replica_01</x:v>
      </x:c>
      <x:c r="B73" s="16" t="n">
        <x:v>1</x:v>
      </x:c>
      <x:c r="C73" s="16" t="str">
        <x:v>pfoa_image</x:v>
      </x:c>
      <x:c r="D73" s="16" t="n">
        <x:v>44.565845</x:v>
      </x:c>
      <x:c r="E73" s="17" t="n">
        <x:v>1.6974879485598748</x:v>
      </x:c>
    </x:row>
    <x:row r="74" ht="15" hidden="0" customHeight="1">
      <x:c r="A74" s="15" t="str">
        <x:v>replica_01</x:v>
      </x:c>
      <x:c r="B74" s="16" t="n">
        <x:v>2</x:v>
      </x:c>
      <x:c r="C74" s="16" t="str">
        <x:v>pfoa_image</x:v>
      </x:c>
      <x:c r="D74" s="16" t="n">
        <x:v>46.0139626</x:v>
      </x:c>
      <x:c r="E74" s="17" t="n">
        <x:v>0.5092103126471934</x:v>
      </x:c>
    </x:row>
    <x:row r="75" ht="15" hidden="0" customHeight="1">
      <x:c r="A75" s="15" t="str">
        <x:v>replica_01</x:v>
      </x:c>
      <x:c r="B75" s="16" t="n">
        <x:v>3</x:v>
      </x:c>
      <x:c r="C75" s="16" t="str">
        <x:v>pfoa_image</x:v>
      </x:c>
      <x:c r="D75" s="16" t="n">
        <x:v>45.8993896</x:v>
      </x:c>
      <x:c r="E75" s="17" t="n">
        <x:v>1.1125132272532616</x:v>
      </x:c>
    </x:row>
    <x:row r="76" ht="15" hidden="0" customHeight="1">
      <x:c r="A76" s="15" t="str">
        <x:v>replica_01</x:v>
      </x:c>
      <x:c r="B76" s="16" t="n">
        <x:v>4</x:v>
      </x:c>
      <x:c r="C76" s="16" t="str">
        <x:v>pfoa_image</x:v>
      </x:c>
      <x:c r="D76" s="16" t="n">
        <x:v>46.422247000000006</x:v>
      </x:c>
      <x:c r="E76" s="17" t="n">
        <x:v>1.1641002411622239</x:v>
      </x:c>
    </x:row>
    <x:row r="77" ht="15" hidden="0" customHeight="1">
      <x:c r="A77" s="15" t="str">
        <x:v>replica_01</x:v>
      </x:c>
      <x:c r="B77" s="16" t="n">
        <x:v>5</x:v>
      </x:c>
      <x:c r="C77" s="16" t="str">
        <x:v>pfoa_image</x:v>
      </x:c>
      <x:c r="D77" s="16" t="n">
        <x:v>46.5711302</x:v>
      </x:c>
      <x:c r="E77" s="17" t="n">
        <x:v>0.7818204121802932</x:v>
      </x:c>
    </x:row>
    <x:row r="78" ht="15" hidden="0" customHeight="1">
      <x:c r="A78" s="15" t="str">
        <x:v>replica_01</x:v>
      </x:c>
      <x:c r="B78" s="16" t="n">
        <x:v>6</x:v>
      </x:c>
      <x:c r="C78" s="16" t="str">
        <x:v>pfoa_image</x:v>
      </x:c>
      <x:c r="D78" s="16" t="n">
        <x:v>45.6414562</x:v>
      </x:c>
      <x:c r="E78" s="17" t="n">
        <x:v>1.1166343880136187</x:v>
      </x:c>
    </x:row>
    <x:row r="79" ht="15" hidden="0" customHeight="1">
      <x:c r="A79" s="15" t="str">
        <x:v>replica_01</x:v>
      </x:c>
      <x:c r="B79" s="16" t="n">
        <x:v>7</x:v>
      </x:c>
      <x:c r="C79" s="16" t="str">
        <x:v>pfoa_image</x:v>
      </x:c>
      <x:c r="D79" s="16" t="n">
        <x:v>45.149108600000005</x:v>
      </x:c>
      <x:c r="E79" s="17" t="n">
        <x:v>1.1287016694340477</x:v>
      </x:c>
    </x:row>
    <x:row r="80" ht="15" hidden="0" customHeight="1">
      <x:c r="A80" s="15" t="str">
        <x:v>replica_01</x:v>
      </x:c>
      <x:c r="B80" s="16" t="n">
        <x:v>8</x:v>
      </x:c>
      <x:c r="C80" s="16" t="str">
        <x:v>pfoa_image</x:v>
      </x:c>
      <x:c r="D80" s="16" t="n">
        <x:v>46.28631980000001</x:v>
      </x:c>
      <x:c r="E80" s="17" t="n">
        <x:v>0.7248199361134703</x:v>
      </x:c>
    </x:row>
    <x:row r="81" ht="15" hidden="0" customHeight="1">
      <x:c r="A81" s="15" t="str">
        <x:v>replica_01</x:v>
      </x:c>
      <x:c r="B81" s="16" t="n">
        <x:v>9</x:v>
      </x:c>
      <x:c r="C81" s="16" t="str">
        <x:v>pfoa_image</x:v>
      </x:c>
      <x:c r="D81" s="16" t="n">
        <x:v>45.027094000000005</x:v>
      </x:c>
      <x:c r="E81" s="17" t="n">
        <x:v>1.6972586813408186</x:v>
      </x:c>
    </x:row>
    <x:row r="82" ht="15" hidden="0" customHeight="1">
      <x:c r="A82" s="15" t="str">
        <x:v>replica_01</x:v>
      </x:c>
      <x:c r="B82" s="16" t="n">
        <x:v>10</x:v>
      </x:c>
      <x:c r="C82" s="16" t="str">
        <x:v>pfoa_image</x:v>
      </x:c>
      <x:c r="D82" s="16" t="n">
        <x:v>44.670293</x:v>
      </x:c>
      <x:c r="E82" s="17" t="n">
        <x:v>1.9110400049428544</x:v>
      </x:c>
    </x:row>
    <x:row r="83" ht="15" hidden="0" customHeight="1">
      <x:c r="A83" s="15" t="str">
        <x:v>replica_01</x:v>
      </x:c>
      <x:c r="B83" s="16" t="n">
        <x:v>1</x:v>
      </x:c>
      <x:c r="C83" s="16" t="str">
        <x:v>tail_contacts</x:v>
      </x:c>
      <x:c r="D83" s="16" t="n">
        <x:v>16.336</x:v>
      </x:c>
      <x:c r="E83" s="17" t="n">
        <x:v>2.961189166967408</x:v>
      </x:c>
    </x:row>
    <x:row r="84" ht="15" hidden="0" customHeight="1">
      <x:c r="A84" s="15" t="str">
        <x:v>replica_01</x:v>
      </x:c>
      <x:c r="B84" s="16" t="n">
        <x:v>2</x:v>
      </x:c>
      <x:c r="C84" s="16" t="str">
        <x:v>tail_contacts</x:v>
      </x:c>
      <x:c r="D84" s="16" t="n">
        <x:v>18.042</x:v>
      </x:c>
      <x:c r="E84" s="17" t="n">
        <x:v>3.080782114475762</x:v>
      </x:c>
    </x:row>
    <x:row r="85" ht="15" hidden="0" customHeight="1">
      <x:c r="A85" s="15" t="str">
        <x:v>replica_01</x:v>
      </x:c>
      <x:c r="B85" s="16" t="n">
        <x:v>3</x:v>
      </x:c>
      <x:c r="C85" s="16" t="str">
        <x:v>tail_contacts</x:v>
      </x:c>
      <x:c r="D85" s="16" t="n">
        <x:v>17.878</x:v>
      </x:c>
      <x:c r="E85" s="17" t="n">
        <x:v>2.9908202908272585</x:v>
      </x:c>
    </x:row>
    <x:row r="86" ht="15" hidden="0" customHeight="1">
      <x:c r="A86" s="15" t="str">
        <x:v>replica_01</x:v>
      </x:c>
      <x:c r="B86" s="16" t="n">
        <x:v>4</x:v>
      </x:c>
      <x:c r="C86" s="16" t="str">
        <x:v>tail_contacts</x:v>
      </x:c>
      <x:c r="D86" s="16" t="n">
        <x:v>18.116</x:v>
      </x:c>
      <x:c r="E86" s="17" t="n">
        <x:v>3.174697056855286</x:v>
      </x:c>
    </x:row>
    <x:row r="87" ht="15" hidden="0" customHeight="1">
      <x:c r="A87" s="15" t="str">
        <x:v>replica_01</x:v>
      </x:c>
      <x:c r="B87" s="16" t="n">
        <x:v>5</x:v>
      </x:c>
      <x:c r="C87" s="16" t="str">
        <x:v>tail_contacts</x:v>
      </x:c>
      <x:c r="D87" s="16" t="n">
        <x:v>18.502</x:v>
      </x:c>
      <x:c r="E87" s="17" t="n">
        <x:v>3.685806062812493</x:v>
      </x:c>
    </x:row>
    <x:row r="88" ht="15" hidden="0" customHeight="1">
      <x:c r="A88" s="15" t="str">
        <x:v>replica_01</x:v>
      </x:c>
      <x:c r="B88" s="16" t="n">
        <x:v>6</x:v>
      </x:c>
      <x:c r="C88" s="16" t="str">
        <x:v>tail_contacts</x:v>
      </x:c>
      <x:c r="D88" s="16" t="n">
        <x:v>17.342</x:v>
      </x:c>
      <x:c r="E88" s="17" t="n">
        <x:v>3.2677810186074496</x:v>
      </x:c>
    </x:row>
    <x:row r="89" ht="15" hidden="0" customHeight="1">
      <x:c r="A89" s="15" t="str">
        <x:v>replica_01</x:v>
      </x:c>
      <x:c r="B89" s="16" t="n">
        <x:v>7</x:v>
      </x:c>
      <x:c r="C89" s="16" t="str">
        <x:v>tail_contacts</x:v>
      </x:c>
      <x:c r="D89" s="16" t="n">
        <x:v>13.206</x:v>
      </x:c>
      <x:c r="E89" s="17" t="n">
        <x:v>3.106584254685993</x:v>
      </x:c>
    </x:row>
    <x:row r="90" ht="15" hidden="0" customHeight="1">
      <x:c r="A90" s="15" t="str">
        <x:v>replica_01</x:v>
      </x:c>
      <x:c r="B90" s="16" t="n">
        <x:v>8</x:v>
      </x:c>
      <x:c r="C90" s="16" t="str">
        <x:v>tail_contacts</x:v>
      </x:c>
      <x:c r="D90" s="16" t="n">
        <x:v>19.942</x:v>
      </x:c>
      <x:c r="E90" s="17" t="n">
        <x:v>3.768692357326124</x:v>
      </x:c>
    </x:row>
    <x:row r="91" ht="15" hidden="0" customHeight="1">
      <x:c r="A91" s="15" t="str">
        <x:v>replica_01</x:v>
      </x:c>
      <x:c r="B91" s="16" t="n">
        <x:v>9</x:v>
      </x:c>
      <x:c r="C91" s="16" t="str">
        <x:v>tail_contacts</x:v>
      </x:c>
      <x:c r="D91" s="16" t="n">
        <x:v>13.488</x:v>
      </x:c>
      <x:c r="E91" s="17" t="n">
        <x:v>5.529829475495254</x:v>
      </x:c>
    </x:row>
    <x:row r="92" ht="15" hidden="0" customHeight="1">
      <x:c r="A92" s="15" t="str">
        <x:v>replica_01</x:v>
      </x:c>
      <x:c r="B92" s="16" t="n">
        <x:v>10</x:v>
      </x:c>
      <x:c r="C92" s="16" t="str">
        <x:v>tail_contacts</x:v>
      </x:c>
      <x:c r="D92" s="16" t="n">
        <x:v>9.86</x:v>
      </x:c>
      <x:c r="E92" s="17" t="n">
        <x:v>3.6269421581874823</x:v>
      </x:c>
    </x:row>
    <x:row r="93" ht="15" hidden="0" customHeight="1">
      <x:c r="A93" s="15" t="str">
        <x:v>replica_01</x:v>
      </x:c>
      <x:c r="B93" s="16" t="n">
        <x:v>1</x:v>
      </x:c>
      <x:c r="C93" s="16" t="str">
        <x:v>tail_waters</x:v>
      </x:c>
      <x:c r="D93" s="16" t="n">
        <x:v>38.924</x:v>
      </x:c>
      <x:c r="E93" s="17" t="n">
        <x:v>3.9589861255483796</x:v>
      </x:c>
    </x:row>
    <x:row r="94" ht="15" hidden="0" customHeight="1">
      <x:c r="A94" s="15" t="str">
        <x:v>replica_01</x:v>
      </x:c>
      <x:c r="B94" s="16" t="n">
        <x:v>2</x:v>
      </x:c>
      <x:c r="C94" s="16" t="str">
        <x:v>tail_waters</x:v>
      </x:c>
      <x:c r="D94" s="16" t="n">
        <x:v>39.256</x:v>
      </x:c>
      <x:c r="E94" s="17" t="n">
        <x:v>3.08893947726212</x:v>
      </x:c>
    </x:row>
    <x:row r="95" ht="15" hidden="0" customHeight="1">
      <x:c r="A95" s="15" t="str">
        <x:v>replica_01</x:v>
      </x:c>
      <x:c r="B95" s="16" t="n">
        <x:v>3</x:v>
      </x:c>
      <x:c r="C95" s="16" t="str">
        <x:v>tail_waters</x:v>
      </x:c>
      <x:c r="D95" s="16" t="n">
        <x:v>39.366</x:v>
      </x:c>
      <x:c r="E95" s="17" t="n">
        <x:v>3.4808442299399456</x:v>
      </x:c>
    </x:row>
    <x:row r="96" ht="15" hidden="0" customHeight="1">
      <x:c r="A96" s="15" t="str">
        <x:v>replica_01</x:v>
      </x:c>
      <x:c r="B96" s="16" t="n">
        <x:v>4</x:v>
      </x:c>
      <x:c r="C96" s="16" t="str">
        <x:v>tail_waters</x:v>
      </x:c>
      <x:c r="D96" s="16" t="n">
        <x:v>34.652</x:v>
      </x:c>
      <x:c r="E96" s="17" t="n">
        <x:v>4.721809713864791</x:v>
      </x:c>
    </x:row>
    <x:row r="97" ht="15" hidden="0" customHeight="1">
      <x:c r="A97" s="15" t="str">
        <x:v>replica_01</x:v>
      </x:c>
      <x:c r="B97" s="16" t="n">
        <x:v>5</x:v>
      </x:c>
      <x:c r="C97" s="16" t="str">
        <x:v>tail_waters</x:v>
      </x:c>
      <x:c r="D97" s="16" t="n">
        <x:v>34.612</x:v>
      </x:c>
      <x:c r="E97" s="17" t="n">
        <x:v>4.831992581183172</x:v>
      </x:c>
    </x:row>
    <x:row r="98" ht="15" hidden="0" customHeight="1">
      <x:c r="A98" s="15" t="str">
        <x:v>replica_01</x:v>
      </x:c>
      <x:c r="B98" s="16" t="n">
        <x:v>6</x:v>
      </x:c>
      <x:c r="C98" s="16" t="str">
        <x:v>tail_waters</x:v>
      </x:c>
      <x:c r="D98" s="16" t="n">
        <x:v>35.762</x:v>
      </x:c>
      <x:c r="E98" s="17" t="n">
        <x:v>4.689278693929236</x:v>
      </x:c>
    </x:row>
    <x:row r="99" ht="15" hidden="0" customHeight="1">
      <x:c r="A99" s="15" t="str">
        <x:v>replica_01</x:v>
      </x:c>
      <x:c r="B99" s="16" t="n">
        <x:v>7</x:v>
      </x:c>
      <x:c r="C99" s="16" t="str">
        <x:v>tail_waters</x:v>
      </x:c>
      <x:c r="D99" s="16" t="n">
        <x:v>37.868</x:v>
      </x:c>
      <x:c r="E99" s="17" t="n">
        <x:v>3.792009318203039</x:v>
      </x:c>
    </x:row>
    <x:row r="100" ht="15" hidden="0" customHeight="1">
      <x:c r="A100" s="15" t="str">
        <x:v>replica_01</x:v>
      </x:c>
      <x:c r="B100" s="16" t="n">
        <x:v>8</x:v>
      </x:c>
      <x:c r="C100" s="16" t="str">
        <x:v>tail_waters</x:v>
      </x:c>
      <x:c r="D100" s="16" t="n">
        <x:v>31.172</x:v>
      </x:c>
      <x:c r="E100" s="17" t="n">
        <x:v>2.951582572004164</x:v>
      </x:c>
    </x:row>
    <x:row r="101" ht="15" hidden="0" customHeight="1">
      <x:c r="A101" s="15" t="str">
        <x:v>replica_01</x:v>
      </x:c>
      <x:c r="B101" s="16" t="n">
        <x:v>9</x:v>
      </x:c>
      <x:c r="C101" s="16" t="str">
        <x:v>tail_waters</x:v>
      </x:c>
      <x:c r="D101" s="16" t="n">
        <x:v>38.58</x:v>
      </x:c>
      <x:c r="E101" s="17" t="n">
        <x:v>7.519620294852494</x:v>
      </x:c>
    </x:row>
    <x:row r="102" ht="15" hidden="0" customHeight="1">
      <x:c r="A102" s="15" t="str">
        <x:v>replica_01</x:v>
      </x:c>
      <x:c r="B102" s="16" t="n">
        <x:v>10</x:v>
      </x:c>
      <x:c r="C102" s="16" t="str">
        <x:v>tail_waters</x:v>
      </x:c>
      <x:c r="D102" s="16" t="n">
        <x:v>43.862</x:v>
      </x:c>
      <x:c r="E102" s="17" t="n">
        <x:v>6.020918444708886</x:v>
      </x:c>
    </x:row>
    <x:row r="103" ht="15" hidden="0" customHeight="1">
      <x:c r="A103" s="15" t="str">
        <x:v>replica_02</x:v>
      </x:c>
      <x:c r="B103" s="16" t="n">
        <x:v>1</x:v>
      </x:c>
      <x:c r="C103" s="16" t="str">
        <x:v>rmsd</x:v>
      </x:c>
      <x:c r="D103" s="16" t="n">
        <x:v>2.326416</x:v>
      </x:c>
      <x:c r="E103" s="17" t="n">
        <x:v>0.5508196973438441</x:v>
      </x:c>
    </x:row>
    <x:row r="104" ht="15" hidden="0" customHeight="1">
      <x:c r="A104" s="15" t="str">
        <x:v>replica_02</x:v>
      </x:c>
      <x:c r="B104" s="16" t="n">
        <x:v>2</x:v>
      </x:c>
      <x:c r="C104" s="16" t="str">
        <x:v>rmsd</x:v>
      </x:c>
      <x:c r="D104" s="16" t="n">
        <x:v>2.51906</x:v>
      </x:c>
      <x:c r="E104" s="17" t="n">
        <x:v>0.390275311591286</x:v>
      </x:c>
    </x:row>
    <x:row r="105" ht="15" hidden="0" customHeight="1">
      <x:c r="A105" s="15" t="str">
        <x:v>replica_02</x:v>
      </x:c>
      <x:c r="B105" s="16" t="n">
        <x:v>3</x:v>
      </x:c>
      <x:c r="C105" s="16" t="str">
        <x:v>rmsd</x:v>
      </x:c>
      <x:c r="D105" s="16" t="n">
        <x:v>3.6405748000000004</x:v>
      </x:c>
      <x:c r="E105" s="17" t="n">
        <x:v>0.9645405894322356</x:v>
      </x:c>
    </x:row>
    <x:row r="106" ht="15" hidden="0" customHeight="1">
      <x:c r="A106" s="15" t="str">
        <x:v>replica_02</x:v>
      </x:c>
      <x:c r="B106" s="16" t="n">
        <x:v>4</x:v>
      </x:c>
      <x:c r="C106" s="16" t="str">
        <x:v>rmsd</x:v>
      </x:c>
      <x:c r="D106" s="16" t="n">
        <x:v>4.5215112</x:v>
      </x:c>
      <x:c r="E106" s="17" t="n">
        <x:v>0.7842606133000097</x:v>
      </x:c>
    </x:row>
    <x:row r="107" ht="15" hidden="0" customHeight="1">
      <x:c r="A107" s="15" t="str">
        <x:v>replica_02</x:v>
      </x:c>
      <x:c r="B107" s="16" t="n">
        <x:v>5</x:v>
      </x:c>
      <x:c r="C107" s="16" t="str">
        <x:v>rmsd</x:v>
      </x:c>
      <x:c r="D107" s="16" t="n">
        <x:v>5.1070823999999995</x:v>
      </x:c>
      <x:c r="E107" s="17" t="n">
        <x:v>0.44140081509822654</x:v>
      </x:c>
    </x:row>
    <x:row r="108" ht="15" hidden="0" customHeight="1">
      <x:c r="A108" s="15" t="str">
        <x:v>replica_02</x:v>
      </x:c>
      <x:c r="B108" s="16" t="n">
        <x:v>6</x:v>
      </x:c>
      <x:c r="C108" s="16" t="str">
        <x:v>rmsd</x:v>
      </x:c>
      <x:c r="D108" s="16" t="n">
        <x:v>4.7590684</x:v>
      </x:c>
      <x:c r="E108" s="17" t="n">
        <x:v>0.4101458415052481</x:v>
      </x:c>
    </x:row>
    <x:row r="109" ht="15" hidden="0" customHeight="1">
      <x:c r="A109" s="15" t="str">
        <x:v>replica_02</x:v>
      </x:c>
      <x:c r="B109" s="16" t="n">
        <x:v>7</x:v>
      </x:c>
      <x:c r="C109" s="16" t="str">
        <x:v>rmsd</x:v>
      </x:c>
      <x:c r="D109" s="16" t="n">
        <x:v>4.0951474</x:v>
      </x:c>
      <x:c r="E109" s="17" t="n">
        <x:v>0.3713709115711169</x:v>
      </x:c>
    </x:row>
    <x:row r="110" ht="15" hidden="0" customHeight="1">
      <x:c r="A110" s="15" t="str">
        <x:v>replica_02</x:v>
      </x:c>
      <x:c r="B110" s="16" t="n">
        <x:v>8</x:v>
      </x:c>
      <x:c r="C110" s="16" t="str">
        <x:v>rmsd</x:v>
      </x:c>
      <x:c r="D110" s="16" t="n">
        <x:v>3.5076002</x:v>
      </x:c>
      <x:c r="E110" s="17" t="n">
        <x:v>0.43686435701808596</x:v>
      </x:c>
    </x:row>
    <x:row r="111" ht="15" hidden="0" customHeight="1">
      <x:c r="A111" s="15" t="str">
        <x:v>replica_02</x:v>
      </x:c>
      <x:c r="B111" s="16" t="n">
        <x:v>9</x:v>
      </x:c>
      <x:c r="C111" s="16" t="str">
        <x:v>rmsd</x:v>
      </x:c>
      <x:c r="D111" s="16" t="n">
        <x:v>3.6639282000000004</x:v>
      </x:c>
      <x:c r="E111" s="17" t="n">
        <x:v>0.34189628158182556</x:v>
      </x:c>
    </x:row>
    <x:row r="112" ht="15" hidden="0" customHeight="1">
      <x:c r="A112" s="15" t="str">
        <x:v>replica_02</x:v>
      </x:c>
      <x:c r="B112" s="16" t="n">
        <x:v>10</x:v>
      </x:c>
      <x:c r="C112" s="16" t="str">
        <x:v>rmsd</x:v>
      </x:c>
      <x:c r="D112" s="16" t="n">
        <x:v>3.9025642</x:v>
      </x:c>
      <x:c r="E112" s="17" t="n">
        <x:v>0.4259728965033702</x:v>
      </x:c>
    </x:row>
    <x:row r="113" ht="15" hidden="0" customHeight="1">
      <x:c r="A113" s="15" t="str">
        <x:v>replica_02</x:v>
      </x:c>
      <x:c r="B113" s="16" t="n">
        <x:v>1</x:v>
      </x:c>
      <x:c r="C113" s="16" t="str">
        <x:v>rg</x:v>
      </x:c>
      <x:c r="D113" s="16" t="n">
        <x:v>9.607657</x:v>
      </x:c>
      <x:c r="E113" s="17" t="n">
        <x:v>0.16023463235459315</x:v>
      </x:c>
    </x:row>
    <x:row r="114" ht="15" hidden="0" customHeight="1">
      <x:c r="A114" s="15" t="str">
        <x:v>replica_02</x:v>
      </x:c>
      <x:c r="B114" s="16" t="n">
        <x:v>2</x:v>
      </x:c>
      <x:c r="C114" s="16" t="str">
        <x:v>rg</x:v>
      </x:c>
      <x:c r="D114" s="16" t="n">
        <x:v>9.5852518</x:v>
      </x:c>
      <x:c r="E114" s="17" t="n">
        <x:v>0.18435243240985694</x:v>
      </x:c>
    </x:row>
    <x:row r="115" ht="15" hidden="0" customHeight="1">
      <x:c r="A115" s="15" t="str">
        <x:v>replica_02</x:v>
      </x:c>
      <x:c r="B115" s="16" t="n">
        <x:v>3</x:v>
      </x:c>
      <x:c r="C115" s="16" t="str">
        <x:v>rg</x:v>
      </x:c>
      <x:c r="D115" s="16" t="n">
        <x:v>9.298561000000001</x:v>
      </x:c>
      <x:c r="E115" s="17" t="n">
        <x:v>0.30942500157906505</x:v>
      </x:c>
    </x:row>
    <x:row r="116" ht="15" hidden="0" customHeight="1">
      <x:c r="A116" s="15" t="str">
        <x:v>replica_02</x:v>
      </x:c>
      <x:c r="B116" s="16" t="n">
        <x:v>4</x:v>
      </x:c>
      <x:c r="C116" s="16" t="str">
        <x:v>rg</x:v>
      </x:c>
      <x:c r="D116" s="16" t="n">
        <x:v>9.155755800000001</x:v>
      </x:c>
      <x:c r="E116" s="17" t="n">
        <x:v>0.19485412134098454</x:v>
      </x:c>
    </x:row>
    <x:row r="117" ht="15" hidden="0" customHeight="1">
      <x:c r="A117" s="15" t="str">
        <x:v>replica_02</x:v>
      </x:c>
      <x:c r="B117" s="16" t="n">
        <x:v>5</x:v>
      </x:c>
      <x:c r="C117" s="16" t="str">
        <x:v>rg</x:v>
      </x:c>
      <x:c r="D117" s="16" t="n">
        <x:v>9.1904848</x:v>
      </x:c>
      <x:c r="E117" s="17" t="n">
        <x:v>0.1847390500196543</x:v>
      </x:c>
    </x:row>
    <x:row r="118" ht="15" hidden="0" customHeight="1">
      <x:c r="A118" s="15" t="str">
        <x:v>replica_02</x:v>
      </x:c>
      <x:c r="B118" s="16" t="n">
        <x:v>6</x:v>
      </x:c>
      <x:c r="C118" s="16" t="str">
        <x:v>rg</x:v>
      </x:c>
      <x:c r="D118" s="16" t="n">
        <x:v>9.0716936</x:v>
      </x:c>
      <x:c r="E118" s="17" t="n">
        <x:v>0.17512309051837058</x:v>
      </x:c>
    </x:row>
    <x:row r="119" ht="15" hidden="0" customHeight="1">
      <x:c r="A119" s="15" t="str">
        <x:v>replica_02</x:v>
      </x:c>
      <x:c r="B119" s="16" t="n">
        <x:v>7</x:v>
      </x:c>
      <x:c r="C119" s="16" t="str">
        <x:v>rg</x:v>
      </x:c>
      <x:c r="D119" s="16" t="n">
        <x:v>9.319966200000001</x:v>
      </x:c>
      <x:c r="E119" s="17" t="n">
        <x:v>0.16879774202573314</x:v>
      </x:c>
    </x:row>
    <x:row r="120" ht="15" hidden="0" customHeight="1">
      <x:c r="A120" s="15" t="str">
        <x:v>replica_02</x:v>
      </x:c>
      <x:c r="B120" s="16" t="n">
        <x:v>8</x:v>
      </x:c>
      <x:c r="C120" s="16" t="str">
        <x:v>rg</x:v>
      </x:c>
      <x:c r="D120" s="16" t="n">
        <x:v>9.400238799999999</x:v>
      </x:c>
      <x:c r="E120" s="17" t="n">
        <x:v>0.15435600930893345</x:v>
      </x:c>
    </x:row>
    <x:row r="121" ht="15" hidden="0" customHeight="1">
      <x:c r="A121" s="15" t="str">
        <x:v>replica_02</x:v>
      </x:c>
      <x:c r="B121" s="16" t="n">
        <x:v>9</x:v>
      </x:c>
      <x:c r="C121" s="16" t="str">
        <x:v>rg</x:v>
      </x:c>
      <x:c r="D121" s="16" t="n">
        <x:v>9.365572199999999</x:v>
      </x:c>
      <x:c r="E121" s="17" t="n">
        <x:v>0.14513558531044965</x:v>
      </x:c>
    </x:row>
    <x:row r="122" ht="15" hidden="0" customHeight="1">
      <x:c r="A122" s="18" t="str">
        <x:v>replica_02</x:v>
      </x:c>
      <x:c r="B122" s="19" t="n">
        <x:v>10</x:v>
      </x:c>
      <x:c r="C122" s="19" t="str">
        <x:v>rg</x:v>
      </x:c>
      <x:c r="D122" s="19" t="n">
        <x:v>9.119898</x:v>
      </x:c>
      <x:c r="E122" s="20" t="n">
        <x:v>0.24719770842404712</x:v>
      </x:c>
    </x:row>
    <x:row r="123" ht="19" customHeight="1">
      <x:c r="A123" s="45" t="str">
        <x:v>replica_02</x:v>
      </x:c>
      <x:c r="B123" s="45" t="n">
        <x:v>1</x:v>
      </x:c>
      <x:c r="C123" s="45" t="str">
        <x:v>end_to_end</x:v>
      </x:c>
      <x:c r="D123" s="45" t="n">
        <x:v>23.8988782</x:v>
      </x:c>
      <x:c r="E123" s="45" t="n">
        <x:v>1.2301550490870445</x:v>
      </x:c>
    </x:row>
    <x:row r="124" ht="19" customHeight="1">
      <x:c r="A124" s="45" t="str">
        <x:v>replica_02</x:v>
      </x:c>
      <x:c r="B124" s="45" t="n">
        <x:v>2</x:v>
      </x:c>
      <x:c r="C124" s="45" t="str">
        <x:v>end_to_end</x:v>
      </x:c>
      <x:c r="D124" s="45" t="n">
        <x:v>24.656335</x:v>
      </x:c>
      <x:c r="E124" s="45" t="n">
        <x:v>1.493074688233743</x:v>
      </x:c>
    </x:row>
    <x:row r="125" ht="19" customHeight="1">
      <x:c r="A125" s="45" t="str">
        <x:v>replica_02</x:v>
      </x:c>
      <x:c r="B125" s="45" t="n">
        <x:v>3</x:v>
      </x:c>
      <x:c r="C125" s="45" t="str">
        <x:v>end_to_end</x:v>
      </x:c>
      <x:c r="D125" s="45" t="n">
        <x:v>24.0236446</x:v>
      </x:c>
      <x:c r="E125" s="45" t="n">
        <x:v>1.6694273192503344</x:v>
      </x:c>
    </x:row>
    <x:row r="126" ht="19" customHeight="1">
      <x:c r="A126" s="45" t="str">
        <x:v>replica_02</x:v>
      </x:c>
      <x:c r="B126" s="45" t="n">
        <x:v>4</x:v>
      </x:c>
      <x:c r="C126" s="45" t="str">
        <x:v>end_to_end</x:v>
      </x:c>
      <x:c r="D126" s="45" t="n">
        <x:v>23.991574</x:v>
      </x:c>
      <x:c r="E126" s="45" t="n">
        <x:v>1.201461570410951</x:v>
      </x:c>
    </x:row>
    <x:row r="127" ht="19" customHeight="1">
      <x:c r="A127" s="45" t="str">
        <x:v>replica_02</x:v>
      </x:c>
      <x:c r="B127" s="45" t="n">
        <x:v>5</x:v>
      </x:c>
      <x:c r="C127" s="45" t="str">
        <x:v>end_to_end</x:v>
      </x:c>
      <x:c r="D127" s="45" t="n">
        <x:v>23.574797599999997</x:v>
      </x:c>
      <x:c r="E127" s="45" t="n">
        <x:v>1.108929437280829</x:v>
      </x:c>
    </x:row>
    <x:row r="128" ht="19" customHeight="1">
      <x:c r="A128" s="45" t="str">
        <x:v>replica_02</x:v>
      </x:c>
      <x:c r="B128" s="45" t="n">
        <x:v>6</x:v>
      </x:c>
      <x:c r="C128" s="45" t="str">
        <x:v>end_to_end</x:v>
      </x:c>
      <x:c r="D128" s="45" t="n">
        <x:v>21.9569058</x:v>
      </x:c>
      <x:c r="E128" s="45" t="n">
        <x:v>1.481866577507377</x:v>
      </x:c>
    </x:row>
    <x:row r="129" ht="19" customHeight="1">
      <x:c r="A129" s="45" t="str">
        <x:v>replica_02</x:v>
      </x:c>
      <x:c r="B129" s="45" t="n">
        <x:v>7</x:v>
      </x:c>
      <x:c r="C129" s="45" t="str">
        <x:v>end_to_end</x:v>
      </x:c>
      <x:c r="D129" s="45" t="n">
        <x:v>23.755218399999997</x:v>
      </x:c>
      <x:c r="E129" s="45" t="n">
        <x:v>1.399476466018389</x:v>
      </x:c>
    </x:row>
    <x:row r="130" ht="19" customHeight="1">
      <x:c r="A130" s="45" t="str">
        <x:v>replica_02</x:v>
      </x:c>
      <x:c r="B130" s="45" t="n">
        <x:v>8</x:v>
      </x:c>
      <x:c r="C130" s="45" t="str">
        <x:v>end_to_end</x:v>
      </x:c>
      <x:c r="D130" s="45" t="n">
        <x:v>23.9376116</x:v>
      </x:c>
      <x:c r="E130" s="45" t="n">
        <x:v>1.4331808864382556</x:v>
      </x:c>
    </x:row>
    <x:row r="131" ht="19" customHeight="1">
      <x:c r="A131" s="45" t="str">
        <x:v>replica_02</x:v>
      </x:c>
      <x:c r="B131" s="45" t="n">
        <x:v>9</x:v>
      </x:c>
      <x:c r="C131" s="45" t="str">
        <x:v>end_to_end</x:v>
      </x:c>
      <x:c r="D131" s="45" t="n">
        <x:v>24.362784</x:v>
      </x:c>
      <x:c r="E131" s="45" t="n">
        <x:v>1.0638874440518706</x:v>
      </x:c>
    </x:row>
    <x:row r="132" ht="19" customHeight="1">
      <x:c r="A132" s="45" t="str">
        <x:v>replica_02</x:v>
      </x:c>
      <x:c r="B132" s="45" t="n">
        <x:v>10</x:v>
      </x:c>
      <x:c r="C132" s="45" t="str">
        <x:v>end_to_end</x:v>
      </x:c>
      <x:c r="D132" s="45" t="n">
        <x:v>22.998337199999998</x:v>
      </x:c>
      <x:c r="E132" s="45" t="n">
        <x:v>1.9493182490934253</x:v>
      </x:c>
    </x:row>
    <x:row r="133" ht="19" customHeight="1">
      <x:c r="A133" s="45" t="str">
        <x:v>replica_02</x:v>
      </x:c>
      <x:c r="B133" s="45" t="n">
        <x:v>1</x:v>
      </x:c>
      <x:c r="C133" s="45" t="str">
        <x:v>head_selected</x:v>
      </x:c>
      <x:c r="D133" s="45" t="n">
        <x:v>10.335130000000001</x:v>
      </x:c>
      <x:c r="E133" s="45" t="n">
        <x:v>2.1681218272078784</x:v>
      </x:c>
    </x:row>
    <x:row r="134" ht="19" customHeight="1">
      <x:c r="A134" s="45" t="str">
        <x:v>replica_02</x:v>
      </x:c>
      <x:c r="B134" s="45" t="n">
        <x:v>2</x:v>
      </x:c>
      <x:c r="C134" s="45" t="str">
        <x:v>head_selected</x:v>
      </x:c>
      <x:c r="D134" s="45" t="n">
        <x:v>7.765991999999999</x:v>
      </x:c>
      <x:c r="E134" s="45" t="n">
        <x:v>2.2042653877733214</x:v>
      </x:c>
    </x:row>
    <x:row r="135" ht="19" customHeight="1">
      <x:c r="A135" s="45" t="str">
        <x:v>replica_02</x:v>
      </x:c>
      <x:c r="B135" s="45" t="n">
        <x:v>3</x:v>
      </x:c>
      <x:c r="C135" s="45" t="str">
        <x:v>head_selected</x:v>
      </x:c>
      <x:c r="D135" s="45" t="n">
        <x:v>7.815296</x:v>
      </x:c>
      <x:c r="E135" s="45" t="n">
        <x:v>2.580792381229848</x:v>
      </x:c>
    </x:row>
    <x:row r="136" ht="19" customHeight="1">
      <x:c r="A136" s="45" t="str">
        <x:v>replica_02</x:v>
      </x:c>
      <x:c r="B136" s="45" t="n">
        <x:v>4</x:v>
      </x:c>
      <x:c r="C136" s="45" t="str">
        <x:v>head_selected</x:v>
      </x:c>
      <x:c r="D136" s="45" t="n">
        <x:v>6.330576</x:v>
      </x:c>
      <x:c r="E136" s="45" t="n">
        <x:v>1.730249708085124</x:v>
      </x:c>
    </x:row>
    <x:row r="137" ht="19" customHeight="1">
      <x:c r="A137" s="45" t="str">
        <x:v>replica_02</x:v>
      </x:c>
      <x:c r="B137" s="45" t="n">
        <x:v>5</x:v>
      </x:c>
      <x:c r="C137" s="45" t="str">
        <x:v>head_selected</x:v>
      </x:c>
      <x:c r="D137" s="45" t="n">
        <x:v>7.395334</x:v>
      </x:c>
      <x:c r="E137" s="45" t="n">
        <x:v>2.2309850414007504</x:v>
      </x:c>
    </x:row>
    <x:row r="138" ht="19" customHeight="1">
      <x:c r="A138" s="45" t="str">
        <x:v>replica_02</x:v>
      </x:c>
      <x:c r="B138" s="45" t="n">
        <x:v>6</x:v>
      </x:c>
      <x:c r="C138" s="45" t="str">
        <x:v>head_selected</x:v>
      </x:c>
      <x:c r="D138" s="45" t="n">
        <x:v>9.611034</x:v>
      </x:c>
      <x:c r="E138" s="45" t="n">
        <x:v>3.3650485995001613</x:v>
      </x:c>
    </x:row>
    <x:row r="139" ht="19" customHeight="1">
      <x:c r="A139" s="45" t="str">
        <x:v>replica_02</x:v>
      </x:c>
      <x:c r="B139" s="45" t="n">
        <x:v>7</x:v>
      </x:c>
      <x:c r="C139" s="45" t="str">
        <x:v>head_selected</x:v>
      </x:c>
      <x:c r="D139" s="45" t="n">
        <x:v>13.372262000000001</x:v>
      </x:c>
      <x:c r="E139" s="45" t="n">
        <x:v>2.069938302101058</x:v>
      </x:c>
    </x:row>
    <x:row r="140" ht="19" customHeight="1">
      <x:c r="A140" s="45" t="str">
        <x:v>replica_02</x:v>
      </x:c>
      <x:c r="B140" s="45" t="n">
        <x:v>8</x:v>
      </x:c>
      <x:c r="C140" s="45" t="str">
        <x:v>head_selected</x:v>
      </x:c>
      <x:c r="D140" s="45" t="n">
        <x:v>16.30278</x:v>
      </x:c>
      <x:c r="E140" s="45" t="n">
        <x:v>1.8697201647811306</x:v>
      </x:c>
    </x:row>
    <x:row r="141" ht="19" customHeight="1">
      <x:c r="A141" s="45" t="str">
        <x:v>replica_02</x:v>
      </x:c>
      <x:c r="B141" s="45" t="n">
        <x:v>9</x:v>
      </x:c>
      <x:c r="C141" s="45" t="str">
        <x:v>head_selected</x:v>
      </x:c>
      <x:c r="D141" s="45" t="n">
        <x:v>18.95007</x:v>
      </x:c>
      <x:c r="E141" s="45" t="n">
        <x:v>1.9719148016763146</x:v>
      </x:c>
    </x:row>
    <x:row r="142" ht="19" customHeight="1">
      <x:c r="A142" s="45" t="str">
        <x:v>replica_02</x:v>
      </x:c>
      <x:c r="B142" s="45" t="n">
        <x:v>10</x:v>
      </x:c>
      <x:c r="C142" s="45" t="str">
        <x:v>head_selected</x:v>
      </x:c>
      <x:c r="D142" s="45" t="n">
        <x:v>13.69875</x:v>
      </x:c>
      <x:c r="E142" s="45" t="n">
        <x:v>2.334404747800412</x:v>
      </x:c>
    </x:row>
    <x:row r="143" ht="19" customHeight="1">
      <x:c r="A143" s="45" t="str">
        <x:v>replica_02</x:v>
      </x:c>
      <x:c r="B143" s="45" t="n">
        <x:v>1</x:v>
      </x:c>
      <x:c r="C143" s="45" t="str">
        <x:v>head_any</x:v>
      </x:c>
      <x:c r="D143" s="45" t="n">
        <x:v>5.477406</x:v>
      </x:c>
      <x:c r="E143" s="45" t="n">
        <x:v>0.9324292583395349</x:v>
      </x:c>
    </x:row>
    <x:row r="144" ht="19" customHeight="1">
      <x:c r="A144" s="45" t="str">
        <x:v>replica_02</x:v>
      </x:c>
      <x:c r="B144" s="45" t="n">
        <x:v>2</x:v>
      </x:c>
      <x:c r="C144" s="45" t="str">
        <x:v>head_any</x:v>
      </x:c>
      <x:c r="D144" s="45" t="n">
        <x:v>5.350058</x:v>
      </x:c>
      <x:c r="E144" s="45" t="n">
        <x:v>0.8508383503538529</x:v>
      </x:c>
    </x:row>
    <x:row r="145" ht="19" customHeight="1">
      <x:c r="A145" s="45" t="str">
        <x:v>replica_02</x:v>
      </x:c>
      <x:c r="B145" s="45" t="n">
        <x:v>3</x:v>
      </x:c>
      <x:c r="C145" s="45" t="str">
        <x:v>head_any</x:v>
      </x:c>
      <x:c r="D145" s="45" t="n">
        <x:v>4.968049999999999</x:v>
      </x:c>
      <x:c r="E145" s="45" t="n">
        <x:v>0.7986010560934584</x:v>
      </x:c>
    </x:row>
    <x:row r="146" ht="19" customHeight="1">
      <x:c r="A146" s="45" t="str">
        <x:v>replica_02</x:v>
      </x:c>
      <x:c r="B146" s="45" t="n">
        <x:v>4</x:v>
      </x:c>
      <x:c r="C146" s="45" t="str">
        <x:v>head_any</x:v>
      </x:c>
      <x:c r="D146" s="45" t="n">
        <x:v>5.112064</x:v>
      </x:c>
      <x:c r="E146" s="45" t="n">
        <x:v>0.8458247779617408</x:v>
      </x:c>
    </x:row>
    <x:row r="147" ht="19" customHeight="1">
      <x:c r="A147" s="45" t="str">
        <x:v>replica_02</x:v>
      </x:c>
      <x:c r="B147" s="45" t="n">
        <x:v>5</x:v>
      </x:c>
      <x:c r="C147" s="45" t="str">
        <x:v>head_any</x:v>
      </x:c>
      <x:c r="D147" s="45" t="n">
        <x:v>4.913656</x:v>
      </x:c>
      <x:c r="E147" s="45" t="n">
        <x:v>0.7710862556753185</x:v>
      </x:c>
    </x:row>
    <x:row r="148" ht="19" customHeight="1">
      <x:c r="A148" s="45" t="str">
        <x:v>replica_02</x:v>
      </x:c>
      <x:c r="B148" s="45" t="n">
        <x:v>6</x:v>
      </x:c>
      <x:c r="C148" s="45" t="str">
        <x:v>head_any</x:v>
      </x:c>
      <x:c r="D148" s="45" t="n">
        <x:v>5.287216</x:v>
      </x:c>
      <x:c r="E148" s="45" t="n">
        <x:v>0.9862118722962708</x:v>
      </x:c>
    </x:row>
    <x:row r="149" ht="19" customHeight="1">
      <x:c r="A149" s="45" t="str">
        <x:v>replica_02</x:v>
      </x:c>
      <x:c r="B149" s="45" t="n">
        <x:v>7</x:v>
      </x:c>
      <x:c r="C149" s="45" t="str">
        <x:v>head_any</x:v>
      </x:c>
      <x:c r="D149" s="45" t="n">
        <x:v>5.2148460000000005</x:v>
      </x:c>
      <x:c r="E149" s="45" t="n">
        <x:v>0.8523614811058428</x:v>
      </x:c>
    </x:row>
    <x:row r="150" ht="19" customHeight="1">
      <x:c r="A150" s="45" t="str">
        <x:v>replica_02</x:v>
      </x:c>
      <x:c r="B150" s="45" t="n">
        <x:v>8</x:v>
      </x:c>
      <x:c r="C150" s="45" t="str">
        <x:v>head_any</x:v>
      </x:c>
      <x:c r="D150" s="45" t="n">
        <x:v>5.452255999999999</x:v>
      </x:c>
      <x:c r="E150" s="45" t="n">
        <x:v>0.9343156007193154</x:v>
      </x:c>
    </x:row>
    <x:row r="151" ht="19" customHeight="1">
      <x:c r="A151" s="45" t="str">
        <x:v>replica_02</x:v>
      </x:c>
      <x:c r="B151" s="45" t="n">
        <x:v>9</x:v>
      </x:c>
      <x:c r="C151" s="45" t="str">
        <x:v>head_any</x:v>
      </x:c>
      <x:c r="D151" s="45" t="n">
        <x:v>4.83408</x:v>
      </x:c>
      <x:c r="E151" s="45" t="n">
        <x:v>0.7185797599033008</x:v>
      </x:c>
    </x:row>
    <x:row r="152" ht="19" customHeight="1">
      <x:c r="A152" s="45" t="str">
        <x:v>replica_02</x:v>
      </x:c>
      <x:c r="B152" s="45" t="n">
        <x:v>10</x:v>
      </x:c>
      <x:c r="C152" s="45" t="str">
        <x:v>head_any</x:v>
      </x:c>
      <x:c r="D152" s="45" t="n">
        <x:v>4.8751880000000005</x:v>
      </x:c>
      <x:c r="E152" s="45" t="n">
        <x:v>0.7314846164782199</x:v>
      </x:c>
    </x:row>
    <x:row r="153" ht="19" customHeight="1">
      <x:c r="A153" s="45" t="str">
        <x:v>replica_02</x:v>
      </x:c>
      <x:c r="B153" s="45" t="n">
        <x:v>1</x:v>
      </x:c>
      <x:c r="C153" s="45" t="str">
        <x:v>pfoa_polymer</x:v>
      </x:c>
      <x:c r="D153" s="45" t="n">
        <x:v>2.979294</x:v>
      </x:c>
      <x:c r="E153" s="45" t="n">
        <x:v>0.13121273233285138</x:v>
      </x:c>
    </x:row>
    <x:row r="154" ht="19" customHeight="1">
      <x:c r="A154" s="45" t="str">
        <x:v>replica_02</x:v>
      </x:c>
      <x:c r="B154" s="45" t="n">
        <x:v>2</x:v>
      </x:c>
      <x:c r="C154" s="45" t="str">
        <x:v>pfoa_polymer</x:v>
      </x:c>
      <x:c r="D154" s="45" t="n">
        <x:v>2.9637179999999996</x:v>
      </x:c>
      <x:c r="E154" s="45" t="n">
        <x:v>0.11316941773385793</x:v>
      </x:c>
    </x:row>
    <x:row r="155" ht="19" customHeight="1">
      <x:c r="A155" s="45" t="str">
        <x:v>replica_02</x:v>
      </x:c>
      <x:c r="B155" s="45" t="n">
        <x:v>3</x:v>
      </x:c>
      <x:c r="C155" s="45" t="str">
        <x:v>pfoa_polymer</x:v>
      </x:c>
      <x:c r="D155" s="45" t="n">
        <x:v>3.020864</x:v>
      </x:c>
      <x:c r="E155" s="45" t="n">
        <x:v>0.14380990258031717</x:v>
      </x:c>
    </x:row>
    <x:row r="156" ht="19" customHeight="1">
      <x:c r="A156" s="45" t="str">
        <x:v>replica_02</x:v>
      </x:c>
      <x:c r="B156" s="45" t="n">
        <x:v>4</x:v>
      </x:c>
      <x:c r="C156" s="45" t="str">
        <x:v>pfoa_polymer</x:v>
      </x:c>
      <x:c r="D156" s="45" t="n">
        <x:v>2.9878780000000003</x:v>
      </x:c>
      <x:c r="E156" s="45" t="n">
        <x:v>0.1285723329710215</x:v>
      </x:c>
    </x:row>
    <x:row r="157" ht="19" customHeight="1">
      <x:c r="A157" s="45" t="str">
        <x:v>replica_02</x:v>
      </x:c>
      <x:c r="B157" s="45" t="n">
        <x:v>5</x:v>
      </x:c>
      <x:c r="C157" s="45" t="str">
        <x:v>pfoa_polymer</x:v>
      </x:c>
      <x:c r="D157" s="45" t="n">
        <x:v>2.9970340000000006</x:v>
      </x:c>
      <x:c r="E157" s="45" t="n">
        <x:v>0.1301696936398199</x:v>
      </x:c>
    </x:row>
    <x:row r="158" ht="19" customHeight="1">
      <x:c r="A158" s="45" t="str">
        <x:v>replica_02</x:v>
      </x:c>
      <x:c r="B158" s="45" t="n">
        <x:v>6</x:v>
      </x:c>
      <x:c r="C158" s="45" t="str">
        <x:v>pfoa_polymer</x:v>
      </x:c>
      <x:c r="D158" s="45" t="n">
        <x:v>3.0473959999999995</x:v>
      </x:c>
      <x:c r="E158" s="45" t="n">
        <x:v>0.1455821951169515</x:v>
      </x:c>
    </x:row>
    <x:row r="159" ht="19" customHeight="1">
      <x:c r="A159" s="45" t="str">
        <x:v>replica_02</x:v>
      </x:c>
      <x:c r="B159" s="45" t="n">
        <x:v>7</x:v>
      </x:c>
      <x:c r="C159" s="45" t="str">
        <x:v>pfoa_polymer</x:v>
      </x:c>
      <x:c r="D159" s="45" t="n">
        <x:v>3.05767</x:v>
      </x:c>
      <x:c r="E159" s="45" t="n">
        <x:v>0.15445311466350722</x:v>
      </x:c>
    </x:row>
    <x:row r="160" ht="19" customHeight="1">
      <x:c r="A160" s="45" t="str">
        <x:v>replica_02</x:v>
      </x:c>
      <x:c r="B160" s="45" t="n">
        <x:v>8</x:v>
      </x:c>
      <x:c r="C160" s="45" t="str">
        <x:v>pfoa_polymer</x:v>
      </x:c>
      <x:c r="D160" s="45" t="n">
        <x:v>3.024876</x:v>
      </x:c>
      <x:c r="E160" s="45" t="n">
        <x:v>0.14017422820370729</x:v>
      </x:c>
    </x:row>
    <x:row r="161" ht="19" customHeight="1">
      <x:c r="A161" s="45" t="str">
        <x:v>replica_02</x:v>
      </x:c>
      <x:c r="B161" s="45" t="n">
        <x:v>9</x:v>
      </x:c>
      <x:c r="C161" s="45" t="str">
        <x:v>pfoa_polymer</x:v>
      </x:c>
      <x:c r="D161" s="45" t="n">
        <x:v>3.018174</x:v>
      </x:c>
      <x:c r="E161" s="45" t="n">
        <x:v>0.13547629821764956</x:v>
      </x:c>
    </x:row>
    <x:row r="162" ht="19" customHeight="1">
      <x:c r="A162" s="45" t="str">
        <x:v>replica_02</x:v>
      </x:c>
      <x:c r="B162" s="45" t="n">
        <x:v>10</x:v>
      </x:c>
      <x:c r="C162" s="45" t="str">
        <x:v>pfoa_polymer</x:v>
      </x:c>
      <x:c r="D162" s="45" t="n">
        <x:v>3.038438</x:v>
      </x:c>
      <x:c r="E162" s="45" t="n">
        <x:v>0.1474832219525836</x:v>
      </x:c>
    </x:row>
    <x:row r="163" ht="19" customHeight="1">
      <x:c r="A163" s="45" t="str">
        <x:v>replica_02</x:v>
      </x:c>
      <x:c r="B163" s="45" t="n">
        <x:v>1</x:v>
      </x:c>
      <x:c r="C163" s="45" t="str">
        <x:v>polymer_image</x:v>
      </x:c>
      <x:c r="D163" s="45" t="n">
        <x:v>26.985841</x:v>
      </x:c>
      <x:c r="E163" s="45" t="n">
        <x:v>2.2695957408915683</x:v>
      </x:c>
    </x:row>
    <x:row r="164" ht="19" customHeight="1">
      <x:c r="A164" s="45" t="str">
        <x:v>replica_02</x:v>
      </x:c>
      <x:c r="B164" s="45" t="n">
        <x:v>2</x:v>
      </x:c>
      <x:c r="C164" s="45" t="str">
        <x:v>polymer_image</x:v>
      </x:c>
      <x:c r="D164" s="45" t="n">
        <x:v>25.7621024</x:v>
      </x:c>
      <x:c r="E164" s="45" t="n">
        <x:v>3.193443219828839</x:v>
      </x:c>
    </x:row>
    <x:row r="165" ht="19" customHeight="1">
      <x:c r="A165" s="45" t="str">
        <x:v>replica_02</x:v>
      </x:c>
      <x:c r="B165" s="45" t="n">
        <x:v>3</x:v>
      </x:c>
      <x:c r="C165" s="45" t="str">
        <x:v>polymer_image</x:v>
      </x:c>
      <x:c r="D165" s="45" t="n">
        <x:v>25.8734404</x:v>
      </x:c>
      <x:c r="E165" s="45" t="n">
        <x:v>3.144762668732435</x:v>
      </x:c>
    </x:row>
    <x:row r="166" ht="19" customHeight="1">
      <x:c r="A166" s="45" t="str">
        <x:v>replica_02</x:v>
      </x:c>
      <x:c r="B166" s="45" t="n">
        <x:v>4</x:v>
      </x:c>
      <x:c r="C166" s="45" t="str">
        <x:v>polymer_image</x:v>
      </x:c>
      <x:c r="D166" s="45" t="n">
        <x:v>28.706662599999994</x:v>
      </x:c>
      <x:c r="E166" s="45" t="n">
        <x:v>2.0816805095568767</x:v>
      </x:c>
    </x:row>
    <x:row r="167" ht="19" customHeight="1">
      <x:c r="A167" s="45" t="str">
        <x:v>replica_02</x:v>
      </x:c>
      <x:c r="B167" s="45" t="n">
        <x:v>5</x:v>
      </x:c>
      <x:c r="C167" s="45" t="str">
        <x:v>polymer_image</x:v>
      </x:c>
      <x:c r="D167" s="45" t="n">
        <x:v>27.9475582</x:v>
      </x:c>
      <x:c r="E167" s="45" t="n">
        <x:v>1.834373342040474</x:v>
      </x:c>
    </x:row>
    <x:row r="168" ht="19" customHeight="1">
      <x:c r="A168" s="45" t="str">
        <x:v>replica_02</x:v>
      </x:c>
      <x:c r="B168" s="45" t="n">
        <x:v>6</x:v>
      </x:c>
      <x:c r="C168" s="45" t="str">
        <x:v>polymer_image</x:v>
      </x:c>
      <x:c r="D168" s="45" t="n">
        <x:v>30.5051268</x:v>
      </x:c>
      <x:c r="E168" s="45" t="n">
        <x:v>1.7941451572635991</x:v>
      </x:c>
    </x:row>
    <x:row r="169" ht="19" customHeight="1">
      <x:c r="A169" s="45" t="str">
        <x:v>replica_02</x:v>
      </x:c>
      <x:c r="B169" s="45" t="n">
        <x:v>7</x:v>
      </x:c>
      <x:c r="C169" s="45" t="str">
        <x:v>polymer_image</x:v>
      </x:c>
      <x:c r="D169" s="45" t="n">
        <x:v>28.811763999999997</x:v>
      </x:c>
      <x:c r="E169" s="45" t="n">
        <x:v>3.045305804912681</x:v>
      </x:c>
    </x:row>
    <x:row r="170" ht="19" customHeight="1">
      <x:c r="A170" s="45" t="str">
        <x:v>replica_02</x:v>
      </x:c>
      <x:c r="B170" s="45" t="n">
        <x:v>8</x:v>
      </x:c>
      <x:c r="C170" s="45" t="str">
        <x:v>polymer_image</x:v>
      </x:c>
      <x:c r="D170" s="45" t="n">
        <x:v>27.261578200000002</x:v>
      </x:c>
      <x:c r="E170" s="45" t="n">
        <x:v>3.3358800329648286</x:v>
      </x:c>
    </x:row>
    <x:row r="171" ht="19" customHeight="1">
      <x:c r="A171" s="45" t="str">
        <x:v>replica_02</x:v>
      </x:c>
      <x:c r="B171" s="45" t="n">
        <x:v>9</x:v>
      </x:c>
      <x:c r="C171" s="45" t="str">
        <x:v>polymer_image</x:v>
      </x:c>
      <x:c r="D171" s="45" t="n">
        <x:v>27.871487999999996</x:v>
      </x:c>
      <x:c r="E171" s="45" t="n">
        <x:v>3.082606059848782</x:v>
      </x:c>
    </x:row>
    <x:row r="172" ht="19" customHeight="1">
      <x:c r="A172" s="45" t="str">
        <x:v>replica_02</x:v>
      </x:c>
      <x:c r="B172" s="45" t="n">
        <x:v>10</x:v>
      </x:c>
      <x:c r="C172" s="45" t="str">
        <x:v>polymer_image</x:v>
      </x:c>
      <x:c r="D172" s="45" t="n">
        <x:v>30.5302336</x:v>
      </x:c>
      <x:c r="E172" s="45" t="n">
        <x:v>2.2533034516285824</x:v>
      </x:c>
    </x:row>
    <x:row r="173" ht="19" customHeight="1">
      <x:c r="A173" s="45" t="str">
        <x:v>replica_02</x:v>
      </x:c>
      <x:c r="B173" s="45" t="n">
        <x:v>1</x:v>
      </x:c>
      <x:c r="C173" s="45" t="str">
        <x:v>pfoa_image</x:v>
      </x:c>
      <x:c r="D173" s="45" t="n">
        <x:v>44.3201932</x:v>
      </x:c>
      <x:c r="E173" s="45" t="n">
        <x:v>1.6551107710732855</x:v>
      </x:c>
    </x:row>
    <x:row r="174" ht="19" customHeight="1">
      <x:c r="A174" s="45" t="str">
        <x:v>replica_02</x:v>
      </x:c>
      <x:c r="B174" s="45" t="n">
        <x:v>2</x:v>
      </x:c>
      <x:c r="C174" s="45" t="str">
        <x:v>pfoa_image</x:v>
      </x:c>
      <x:c r="D174" s="45" t="n">
        <x:v>45.935047600000004</x:v>
      </x:c>
      <x:c r="E174" s="45" t="n">
        <x:v>1.2446251893393918</x:v>
      </x:c>
    </x:row>
    <x:row r="175" ht="19" customHeight="1">
      <x:c r="A175" s="45" t="str">
        <x:v>replica_02</x:v>
      </x:c>
      <x:c r="B175" s="45" t="n">
        <x:v>3</x:v>
      </x:c>
      <x:c r="C175" s="45" t="str">
        <x:v>pfoa_image</x:v>
      </x:c>
      <x:c r="D175" s="45" t="n">
        <x:v>45.4426226</x:v>
      </x:c>
      <x:c r="E175" s="45" t="n">
        <x:v>1.3324719316091775</x:v>
      </x:c>
    </x:row>
    <x:row r="176" ht="19" customHeight="1">
      <x:c r="A176" s="45" t="str">
        <x:v>replica_02</x:v>
      </x:c>
      <x:c r="B176" s="45" t="n">
        <x:v>4</x:v>
      </x:c>
      <x:c r="C176" s="45" t="str">
        <x:v>pfoa_image</x:v>
      </x:c>
      <x:c r="D176" s="45" t="n">
        <x:v>46.1471648</x:v>
      </x:c>
      <x:c r="E176" s="45" t="n">
        <x:v>0.7767913631372644</x:v>
      </x:c>
    </x:row>
    <x:row r="177" ht="19" customHeight="1">
      <x:c r="A177" s="45" t="str">
        <x:v>replica_02</x:v>
      </x:c>
      <x:c r="B177" s="45" t="n">
        <x:v>5</x:v>
      </x:c>
      <x:c r="C177" s="45" t="str">
        <x:v>pfoa_image</x:v>
      </x:c>
      <x:c r="D177" s="45" t="n">
        <x:v>44.013973400000005</x:v>
      </x:c>
      <x:c r="E177" s="45" t="n">
        <x:v>1.4604609099772523</x:v>
      </x:c>
    </x:row>
    <x:row r="178" ht="19" customHeight="1">
      <x:c r="A178" s="45" t="str">
        <x:v>replica_02</x:v>
      </x:c>
      <x:c r="B178" s="45" t="n">
        <x:v>6</x:v>
      </x:c>
      <x:c r="C178" s="45" t="str">
        <x:v>pfoa_image</x:v>
      </x:c>
      <x:c r="D178" s="45" t="n">
        <x:v>44.9136308</x:v>
      </x:c>
      <x:c r="E178" s="45" t="n">
        <x:v>1.6409080827283673</x:v>
      </x:c>
    </x:row>
    <x:row r="179" ht="19" customHeight="1">
      <x:c r="A179" s="45" t="str">
        <x:v>replica_02</x:v>
      </x:c>
      <x:c r="B179" s="45" t="n">
        <x:v>7</x:v>
      </x:c>
      <x:c r="C179" s="45" t="str">
        <x:v>pfoa_image</x:v>
      </x:c>
      <x:c r="D179" s="45" t="n">
        <x:v>46.29113620000001</x:v>
      </x:c>
      <x:c r="E179" s="45" t="n">
        <x:v>1.0219913311920132</x:v>
      </x:c>
    </x:row>
    <x:row r="180" ht="19" customHeight="1">
      <x:c r="A180" s="45" t="str">
        <x:v>replica_02</x:v>
      </x:c>
      <x:c r="B180" s="45" t="n">
        <x:v>8</x:v>
      </x:c>
      <x:c r="C180" s="45" t="str">
        <x:v>pfoa_image</x:v>
      </x:c>
      <x:c r="D180" s="45" t="n">
        <x:v>45.3651822</x:v>
      </x:c>
      <x:c r="E180" s="45" t="n">
        <x:v>1.4748796500961343</x:v>
      </x:c>
    </x:row>
    <x:row r="181" ht="19" customHeight="1">
      <x:c r="A181" s="45" t="str">
        <x:v>replica_02</x:v>
      </x:c>
      <x:c r="B181" s="45" t="n">
        <x:v>9</x:v>
      </x:c>
      <x:c r="C181" s="45" t="str">
        <x:v>pfoa_image</x:v>
      </x:c>
      <x:c r="D181" s="45" t="n">
        <x:v>46.619241599999995</x:v>
      </x:c>
      <x:c r="E181" s="45" t="n">
        <x:v>1.1647821940210354</x:v>
      </x:c>
    </x:row>
    <x:row r="182" ht="19" customHeight="1">
      <x:c r="A182" s="45" t="str">
        <x:v>replica_02</x:v>
      </x:c>
      <x:c r="B182" s="45" t="n">
        <x:v>10</x:v>
      </x:c>
      <x:c r="C182" s="45" t="str">
        <x:v>pfoa_image</x:v>
      </x:c>
      <x:c r="D182" s="45" t="n">
        <x:v>45.719388599999995</x:v>
      </x:c>
      <x:c r="E182" s="45" t="n">
        <x:v>1.2534234197702294</x:v>
      </x:c>
    </x:row>
    <x:row r="183" ht="19" customHeight="1">
      <x:c r="A183" s="45" t="str">
        <x:v>replica_02</x:v>
      </x:c>
      <x:c r="B183" s="45" t="n">
        <x:v>1</x:v>
      </x:c>
      <x:c r="C183" s="45" t="str">
        <x:v>tail_contacts</x:v>
      </x:c>
      <x:c r="D183" s="45" t="n">
        <x:v>14.976</x:v>
      </x:c>
      <x:c r="E183" s="45" t="n">
        <x:v>2.776840955363264</x:v>
      </x:c>
    </x:row>
    <x:row r="184" ht="19" customHeight="1">
      <x:c r="A184" s="45" t="str">
        <x:v>replica_02</x:v>
      </x:c>
      <x:c r="B184" s="45" t="n">
        <x:v>2</x:v>
      </x:c>
      <x:c r="C184" s="45" t="str">
        <x:v>tail_contacts</x:v>
      </x:c>
      <x:c r="D184" s="45" t="n">
        <x:v>16.2</x:v>
      </x:c>
      <x:c r="E184" s="45" t="n">
        <x:v>2.821332989861239</x:v>
      </x:c>
    </x:row>
    <x:row r="185" ht="19" customHeight="1">
      <x:c r="A185" s="45" t="str">
        <x:v>replica_02</x:v>
      </x:c>
      <x:c r="B185" s="45" t="n">
        <x:v>3</x:v>
      </x:c>
      <x:c r="C185" s="45" t="str">
        <x:v>tail_contacts</x:v>
      </x:c>
      <x:c r="D185" s="45" t="n">
        <x:v>17</x:v>
      </x:c>
      <x:c r="E185" s="45" t="n">
        <x:v>5.227490153660093</x:v>
      </x:c>
    </x:row>
    <x:row r="186" ht="19" customHeight="1">
      <x:c r="A186" s="45" t="str">
        <x:v>replica_02</x:v>
      </x:c>
      <x:c r="B186" s="45" t="n">
        <x:v>4</x:v>
      </x:c>
      <x:c r="C186" s="45" t="str">
        <x:v>tail_contacts</x:v>
      </x:c>
      <x:c r="D186" s="45" t="n">
        <x:v>18.02</x:v>
      </x:c>
      <x:c r="E186" s="45" t="n">
        <x:v>4.650899023140246</x:v>
      </x:c>
    </x:row>
    <x:row r="187" ht="19" customHeight="1">
      <x:c r="A187" s="45" t="str">
        <x:v>replica_02</x:v>
      </x:c>
      <x:c r="B187" s="45" t="n">
        <x:v>5</x:v>
      </x:c>
      <x:c r="C187" s="45" t="str">
        <x:v>tail_contacts</x:v>
      </x:c>
      <x:c r="D187" s="45" t="n">
        <x:v>17.714</x:v>
      </x:c>
      <x:c r="E187" s="45" t="n">
        <x:v>4.610283443222738</x:v>
      </x:c>
    </x:row>
    <x:row r="188" ht="19" customHeight="1">
      <x:c r="A188" s="45" t="str">
        <x:v>replica_02</x:v>
      </x:c>
      <x:c r="B188" s="45" t="n">
        <x:v>6</x:v>
      </x:c>
      <x:c r="C188" s="45" t="str">
        <x:v>tail_contacts</x:v>
      </x:c>
      <x:c r="D188" s="45" t="n">
        <x:v>13.644</x:v>
      </x:c>
      <x:c r="E188" s="45" t="n">
        <x:v>3.5556362437960933</x:v>
      </x:c>
    </x:row>
    <x:row r="189" ht="19" customHeight="1">
      <x:c r="A189" s="45" t="str">
        <x:v>replica_02</x:v>
      </x:c>
      <x:c r="B189" s="45" t="n">
        <x:v>7</x:v>
      </x:c>
      <x:c r="C189" s="45" t="str">
        <x:v>tail_contacts</x:v>
      </x:c>
      <x:c r="D189" s="45" t="n">
        <x:v>13.942</x:v>
      </x:c>
      <x:c r="E189" s="45" t="n">
        <x:v>3.718910672923776</x:v>
      </x:c>
    </x:row>
    <x:row r="190" ht="19" customHeight="1">
      <x:c r="A190" s="45" t="str">
        <x:v>replica_02</x:v>
      </x:c>
      <x:c r="B190" s="45" t="n">
        <x:v>8</x:v>
      </x:c>
      <x:c r="C190" s="45" t="str">
        <x:v>tail_contacts</x:v>
      </x:c>
      <x:c r="D190" s="45" t="n">
        <x:v>14.136</x:v>
      </x:c>
      <x:c r="E190" s="45" t="n">
        <x:v>3.339432229471121</x:v>
      </x:c>
    </x:row>
    <x:row r="191" ht="19" customHeight="1">
      <x:c r="A191" s="45" t="str">
        <x:v>replica_02</x:v>
      </x:c>
      <x:c r="B191" s="45" t="n">
        <x:v>9</x:v>
      </x:c>
      <x:c r="C191" s="45" t="str">
        <x:v>tail_contacts</x:v>
      </x:c>
      <x:c r="D191" s="45" t="n">
        <x:v>14.186</x:v>
      </x:c>
      <x:c r="E191" s="45" t="n">
        <x:v>3.252161913901037</x:v>
      </x:c>
    </x:row>
    <x:row r="192" ht="19" customHeight="1">
      <x:c r="A192" s="45" t="str">
        <x:v>replica_02</x:v>
      </x:c>
      <x:c r="B192" s="45" t="n">
        <x:v>10</x:v>
      </x:c>
      <x:c r="C192" s="45" t="str">
        <x:v>tail_contacts</x:v>
      </x:c>
      <x:c r="D192" s="45" t="n">
        <x:v>15.102</x:v>
      </x:c>
      <x:c r="E192" s="45" t="n">
        <x:v>3.5123024552384643</x:v>
      </x:c>
    </x:row>
    <x:row r="193" ht="19" customHeight="1">
      <x:c r="A193" s="45" t="str">
        <x:v>replica_02</x:v>
      </x:c>
      <x:c r="B193" s="45" t="n">
        <x:v>1</x:v>
      </x:c>
      <x:c r="C193" s="45" t="str">
        <x:v>tail_waters</x:v>
      </x:c>
      <x:c r="D193" s="45" t="n">
        <x:v>39.88</x:v>
      </x:c>
      <x:c r="E193" s="45" t="n">
        <x:v>3.400106092886775</x:v>
      </x:c>
    </x:row>
    <x:row r="194" ht="19" customHeight="1">
      <x:c r="A194" s="45" t="str">
        <x:v>replica_02</x:v>
      </x:c>
      <x:c r="B194" s="45" t="n">
        <x:v>2</x:v>
      </x:c>
      <x:c r="C194" s="45" t="str">
        <x:v>tail_waters</x:v>
      </x:c>
      <x:c r="D194" s="45" t="n">
        <x:v>39.62</x:v>
      </x:c>
      <x:c r="E194" s="45" t="n">
        <x:v>3.6702235738663562</x:v>
      </x:c>
    </x:row>
    <x:row r="195" ht="19" customHeight="1">
      <x:c r="A195" s="45" t="str">
        <x:v>replica_02</x:v>
      </x:c>
      <x:c r="B195" s="45" t="n">
        <x:v>3</x:v>
      </x:c>
      <x:c r="C195" s="45" t="str">
        <x:v>tail_waters</x:v>
      </x:c>
      <x:c r="D195" s="45" t="n">
        <x:v>33.264</x:v>
      </x:c>
      <x:c r="E195" s="45" t="n">
        <x:v>5.4840179527251385</x:v>
      </x:c>
    </x:row>
    <x:row r="196" ht="19" customHeight="1">
      <x:c r="A196" s="45" t="str">
        <x:v>replica_02</x:v>
      </x:c>
      <x:c r="B196" s="45" t="n">
        <x:v>4</x:v>
      </x:c>
      <x:c r="C196" s="45" t="str">
        <x:v>tail_waters</x:v>
      </x:c>
      <x:c r="D196" s="45" t="n">
        <x:v>34.164</x:v>
      </x:c>
      <x:c r="E196" s="45" t="n">
        <x:v>5.9102424596511876</x:v>
      </x:c>
    </x:row>
    <x:row r="197" ht="19" customHeight="1">
      <x:c r="A197" s="45" t="str">
        <x:v>replica_02</x:v>
      </x:c>
      <x:c r="B197" s="45" t="n">
        <x:v>5</x:v>
      </x:c>
      <x:c r="C197" s="45" t="str">
        <x:v>tail_waters</x:v>
      </x:c>
      <x:c r="D197" s="45" t="n">
        <x:v>32.09</x:v>
      </x:c>
      <x:c r="E197" s="45" t="n">
        <x:v>3.932025132585825</x:v>
      </x:c>
    </x:row>
    <x:row r="198" ht="19" customHeight="1">
      <x:c r="A198" s="45" t="str">
        <x:v>replica_02</x:v>
      </x:c>
      <x:c r="B198" s="45" t="n">
        <x:v>6</x:v>
      </x:c>
      <x:c r="C198" s="45" t="str">
        <x:v>tail_waters</x:v>
      </x:c>
      <x:c r="D198" s="45" t="n">
        <x:v>37.698</x:v>
      </x:c>
      <x:c r="E198" s="45" t="n">
        <x:v>4.474241127536006</x:v>
      </x:c>
    </x:row>
    <x:row r="199" ht="19" customHeight="1">
      <x:c r="A199" s="45" t="str">
        <x:v>replica_02</x:v>
      </x:c>
      <x:c r="B199" s="45" t="n">
        <x:v>7</x:v>
      </x:c>
      <x:c r="C199" s="45" t="str">
        <x:v>tail_waters</x:v>
      </x:c>
      <x:c r="D199" s="45" t="n">
        <x:v>37.36</x:v>
      </x:c>
      <x:c r="E199" s="45" t="n">
        <x:v>3.878205894730687</x:v>
      </x:c>
    </x:row>
    <x:row r="200" ht="19" customHeight="1">
      <x:c r="A200" s="45" t="str">
        <x:v>replica_02</x:v>
      </x:c>
      <x:c r="B200" s="45" t="n">
        <x:v>8</x:v>
      </x:c>
      <x:c r="C200" s="45" t="str">
        <x:v>tail_waters</x:v>
      </x:c>
      <x:c r="D200" s="45" t="n">
        <x:v>37.03</x:v>
      </x:c>
      <x:c r="E200" s="45" t="n">
        <x:v>3.0251285601790916</x:v>
      </x:c>
    </x:row>
    <x:row r="201" ht="19" customHeight="1">
      <x:c r="A201" s="45" t="str">
        <x:v>replica_02</x:v>
      </x:c>
      <x:c r="B201" s="45" t="n">
        <x:v>9</x:v>
      </x:c>
      <x:c r="C201" s="45" t="str">
        <x:v>tail_waters</x:v>
      </x:c>
      <x:c r="D201" s="45" t="n">
        <x:v>36.96</x:v>
      </x:c>
      <x:c r="E201" s="45" t="n">
        <x:v>3.5569233062878416</x:v>
      </x:c>
    </x:row>
    <x:row r="202" ht="19" customHeight="1">
      <x:c r="A202" s="45" t="str">
        <x:v>replica_02</x:v>
      </x:c>
      <x:c r="B202" s="45" t="n">
        <x:v>10</x:v>
      </x:c>
      <x:c r="C202" s="45" t="str">
        <x:v>tail_waters</x:v>
      </x:c>
      <x:c r="D202" s="45" t="n">
        <x:v>32.506</x:v>
      </x:c>
      <x:c r="E202" s="45" t="n">
        <x:v>3.381839392305717</x:v>
      </x:c>
    </x:row>
    <x:row r="203" ht="19" customHeight="1">
      <x:c r="A203" s="45" t="str">
        <x:v>replica_03</x:v>
      </x:c>
      <x:c r="B203" s="45" t="n">
        <x:v>1</x:v>
      </x:c>
      <x:c r="C203" s="45" t="str">
        <x:v>rmsd</x:v>
      </x:c>
      <x:c r="D203" s="45" t="n">
        <x:v>4.540437600000001</x:v>
      </x:c>
      <x:c r="E203" s="45" t="n">
        <x:v>1.1116747142247743</x:v>
      </x:c>
    </x:row>
    <x:row r="204" ht="19" customHeight="1">
      <x:c r="A204" s="45" t="str">
        <x:v>replica_03</x:v>
      </x:c>
      <x:c r="B204" s="45" t="n">
        <x:v>2</x:v>
      </x:c>
      <x:c r="C204" s="45" t="str">
        <x:v>rmsd</x:v>
      </x:c>
      <x:c r="D204" s="45" t="n">
        <x:v>5.1534356</x:v>
      </x:c>
      <x:c r="E204" s="45" t="n">
        <x:v>0.34803502612734677</x:v>
      </x:c>
    </x:row>
    <x:row r="205" ht="19" customHeight="1">
      <x:c r="A205" s="45" t="str">
        <x:v>replica_03</x:v>
      </x:c>
      <x:c r="B205" s="45" t="n">
        <x:v>3</x:v>
      </x:c>
      <x:c r="C205" s="45" t="str">
        <x:v>rmsd</x:v>
      </x:c>
      <x:c r="D205" s="45" t="n">
        <x:v>4.3669732</x:v>
      </x:c>
      <x:c r="E205" s="45" t="n">
        <x:v>0.4902397871036978</x:v>
      </x:c>
    </x:row>
    <x:row r="206" ht="19" customHeight="1">
      <x:c r="A206" s="45" t="str">
        <x:v>replica_03</x:v>
      </x:c>
      <x:c r="B206" s="45" t="n">
        <x:v>4</x:v>
      </x:c>
      <x:c r="C206" s="45" t="str">
        <x:v>rmsd</x:v>
      </x:c>
      <x:c r="D206" s="45" t="n">
        <x:v>3.9711228000000003</x:v>
      </x:c>
      <x:c r="E206" s="45" t="n">
        <x:v>0.4142900275096516</x:v>
      </x:c>
    </x:row>
    <x:row r="207" ht="19" customHeight="1">
      <x:c r="A207" s="45" t="str">
        <x:v>replica_03</x:v>
      </x:c>
      <x:c r="B207" s="45" t="n">
        <x:v>5</x:v>
      </x:c>
      <x:c r="C207" s="45" t="str">
        <x:v>rmsd</x:v>
      </x:c>
      <x:c r="D207" s="45" t="n">
        <x:v>3.3520724</x:v>
      </x:c>
      <x:c r="E207" s="45" t="n">
        <x:v>0.30754367550467665</x:v>
      </x:c>
    </x:row>
    <x:row r="208" ht="19" customHeight="1">
      <x:c r="A208" s="45" t="str">
        <x:v>replica_03</x:v>
      </x:c>
      <x:c r="B208" s="45" t="n">
        <x:v>6</x:v>
      </x:c>
      <x:c r="C208" s="45" t="str">
        <x:v>rmsd</x:v>
      </x:c>
      <x:c r="D208" s="45" t="n">
        <x:v>4.3264629999999995</x:v>
      </x:c>
      <x:c r="E208" s="45" t="n">
        <x:v>0.36404300073448403</x:v>
      </x:c>
    </x:row>
    <x:row r="209" ht="19" customHeight="1">
      <x:c r="A209" s="45" t="str">
        <x:v>replica_03</x:v>
      </x:c>
      <x:c r="B209" s="45" t="n">
        <x:v>7</x:v>
      </x:c>
      <x:c r="C209" s="45" t="str">
        <x:v>rmsd</x:v>
      </x:c>
      <x:c r="D209" s="45" t="n">
        <x:v>3.9381874</x:v>
      </x:c>
      <x:c r="E209" s="45" t="n">
        <x:v>0.2983316152985017</x:v>
      </x:c>
    </x:row>
    <x:row r="210" ht="19" customHeight="1">
      <x:c r="A210" s="45" t="str">
        <x:v>replica_03</x:v>
      </x:c>
      <x:c r="B210" s="45" t="n">
        <x:v>8</x:v>
      </x:c>
      <x:c r="C210" s="45" t="str">
        <x:v>rmsd</x:v>
      </x:c>
      <x:c r="D210" s="45" t="n">
        <x:v>2.9822851999999997</x:v>
      </x:c>
      <x:c r="E210" s="45" t="n">
        <x:v>0.8518075399473654</x:v>
      </x:c>
    </x:row>
    <x:row r="211" ht="19" customHeight="1">
      <x:c r="A211" s="45" t="str">
        <x:v>replica_03</x:v>
      </x:c>
      <x:c r="B211" s="45" t="n">
        <x:v>9</x:v>
      </x:c>
      <x:c r="C211" s="45" t="str">
        <x:v>rmsd</x:v>
      </x:c>
      <x:c r="D211" s="45" t="n">
        <x:v>3.4867000000000004</x:v>
      </x:c>
      <x:c r="E211" s="45" t="n">
        <x:v>0.5855290600134553</x:v>
      </x:c>
    </x:row>
    <x:row r="212" ht="19" customHeight="1">
      <x:c r="A212" s="45" t="str">
        <x:v>replica_03</x:v>
      </x:c>
      <x:c r="B212" s="45" t="n">
        <x:v>10</x:v>
      </x:c>
      <x:c r="C212" s="45" t="str">
        <x:v>rmsd</x:v>
      </x:c>
      <x:c r="D212" s="45" t="n">
        <x:v>4.3751464</x:v>
      </x:c>
      <x:c r="E212" s="45" t="n">
        <x:v>0.26488045491850787</x:v>
      </x:c>
    </x:row>
    <x:row r="213" ht="19" customHeight="1">
      <x:c r="A213" s="45" t="str">
        <x:v>replica_03</x:v>
      </x:c>
      <x:c r="B213" s="45" t="n">
        <x:v>1</x:v>
      </x:c>
      <x:c r="C213" s="45" t="str">
        <x:v>rg</x:v>
      </x:c>
      <x:c r="D213" s="45" t="n">
        <x:v>9.461221799999999</x:v>
      </x:c>
      <x:c r="E213" s="45" t="n">
        <x:v>0.21423307009283793</x:v>
      </x:c>
    </x:row>
    <x:row r="214" ht="19" customHeight="1">
      <x:c r="A214" s="45" t="str">
        <x:v>replica_03</x:v>
      </x:c>
      <x:c r="B214" s="45" t="n">
        <x:v>2</x:v>
      </x:c>
      <x:c r="C214" s="45" t="str">
        <x:v>rg</x:v>
      </x:c>
      <x:c r="D214" s="45" t="n">
        <x:v>9.305607400000001</x:v>
      </x:c>
      <x:c r="E214" s="45" t="n">
        <x:v>0.15911378909762033</x:v>
      </x:c>
    </x:row>
    <x:row r="215" ht="19" customHeight="1">
      <x:c r="A215" s="45" t="str">
        <x:v>replica_03</x:v>
      </x:c>
      <x:c r="B215" s="45" t="n">
        <x:v>3</x:v>
      </x:c>
      <x:c r="C215" s="45" t="str">
        <x:v>rg</x:v>
      </x:c>
      <x:c r="D215" s="45" t="n">
        <x:v>9.255211800000001</x:v>
      </x:c>
      <x:c r="E215" s="45" t="n">
        <x:v>0.15449595996027887</x:v>
      </x:c>
    </x:row>
    <x:row r="216" ht="19" customHeight="1">
      <x:c r="A216" s="45" t="str">
        <x:v>replica_03</x:v>
      </x:c>
      <x:c r="B216" s="45" t="n">
        <x:v>4</x:v>
      </x:c>
      <x:c r="C216" s="45" t="str">
        <x:v>rg</x:v>
      </x:c>
      <x:c r="D216" s="45" t="n">
        <x:v>9.314168599999999</x:v>
      </x:c>
      <x:c r="E216" s="45" t="n">
        <x:v>0.18188770113916827</x:v>
      </x:c>
    </x:row>
    <x:row r="217" ht="19" customHeight="1">
      <x:c r="A217" s="45" t="str">
        <x:v>replica_03</x:v>
      </x:c>
      <x:c r="B217" s="45" t="n">
        <x:v>5</x:v>
      </x:c>
      <x:c r="C217" s="45" t="str">
        <x:v>rg</x:v>
      </x:c>
      <x:c r="D217" s="45" t="n">
        <x:v>9.224145799999999</x:v>
      </x:c>
      <x:c r="E217" s="45" t="n">
        <x:v>0.18351855361625652</x:v>
      </x:c>
    </x:row>
    <x:row r="218" ht="19" customHeight="1">
      <x:c r="A218" s="45" t="str">
        <x:v>replica_03</x:v>
      </x:c>
      <x:c r="B218" s="45" t="n">
        <x:v>6</x:v>
      </x:c>
      <x:c r="C218" s="45" t="str">
        <x:v>rg</x:v>
      </x:c>
      <x:c r="D218" s="45" t="n">
        <x:v>9.367077400000001</x:v>
      </x:c>
      <x:c r="E218" s="45" t="n">
        <x:v>0.14051668408503135</x:v>
      </x:c>
    </x:row>
    <x:row r="219" ht="19" customHeight="1">
      <x:c r="A219" s="45" t="str">
        <x:v>replica_03</x:v>
      </x:c>
      <x:c r="B219" s="45" t="n">
        <x:v>7</x:v>
      </x:c>
      <x:c r="C219" s="45" t="str">
        <x:v>rg</x:v>
      </x:c>
      <x:c r="D219" s="45" t="n">
        <x:v>9.410445800000002</x:v>
      </x:c>
      <x:c r="E219" s="45" t="n">
        <x:v>0.122743952837916</x:v>
      </x:c>
    </x:row>
    <x:row r="220" ht="19" customHeight="1">
      <x:c r="A220" s="45" t="str">
        <x:v>replica_03</x:v>
      </x:c>
      <x:c r="B220" s="45" t="n">
        <x:v>8</x:v>
      </x:c>
      <x:c r="C220" s="45" t="str">
        <x:v>rg</x:v>
      </x:c>
      <x:c r="D220" s="45" t="n">
        <x:v>9.3550258</x:v>
      </x:c>
      <x:c r="E220" s="45" t="n">
        <x:v>0.21532988476499448</x:v>
      </x:c>
    </x:row>
    <x:row r="221" ht="19" customHeight="1">
      <x:c r="A221" s="45" t="str">
        <x:v>replica_03</x:v>
      </x:c>
      <x:c r="B221" s="45" t="n">
        <x:v>9</x:v>
      </x:c>
      <x:c r="C221" s="45" t="str">
        <x:v>rg</x:v>
      </x:c>
      <x:c r="D221" s="45" t="n">
        <x:v>9.249189999999999</x:v>
      </x:c>
      <x:c r="E221" s="45" t="n">
        <x:v>0.22672622393812866</x:v>
      </x:c>
    </x:row>
    <x:row r="222" ht="19" customHeight="1">
      <x:c r="A222" s="45" t="str">
        <x:v>replica_03</x:v>
      </x:c>
      <x:c r="B222" s="45" t="n">
        <x:v>10</x:v>
      </x:c>
      <x:c r="C222" s="45" t="str">
        <x:v>rg</x:v>
      </x:c>
      <x:c r="D222" s="45" t="n">
        <x:v>8.983577799999999</x:v>
      </x:c>
      <x:c r="E222" s="45" t="n">
        <x:v>0.12838545625543352</x:v>
      </x:c>
    </x:row>
    <x:row r="223" ht="19" customHeight="1">
      <x:c r="A223" s="45" t="str">
        <x:v>replica_03</x:v>
      </x:c>
      <x:c r="B223" s="45" t="n">
        <x:v>1</x:v>
      </x:c>
      <x:c r="C223" s="45" t="str">
        <x:v>end_to_end</x:v>
      </x:c>
      <x:c r="D223" s="45" t="n">
        <x:v>23.9003328</x:v>
      </x:c>
      <x:c r="E223" s="45" t="n">
        <x:v>1.3812765105950375</x:v>
      </x:c>
    </x:row>
    <x:row r="224" ht="19" customHeight="1">
      <x:c r="A224" s="45" t="str">
        <x:v>replica_03</x:v>
      </x:c>
      <x:c r="B224" s="45" t="n">
        <x:v>2</x:v>
      </x:c>
      <x:c r="C224" s="45" t="str">
        <x:v>end_to_end</x:v>
      </x:c>
      <x:c r="D224" s="45" t="n">
        <x:v>23.429296199999996</x:v>
      </x:c>
      <x:c r="E224" s="45" t="n">
        <x:v>1.259960717349588</x:v>
      </x:c>
    </x:row>
    <x:row r="225" ht="19" customHeight="1">
      <x:c r="A225" s="45" t="str">
        <x:v>replica_03</x:v>
      </x:c>
      <x:c r="B225" s="45" t="n">
        <x:v>3</x:v>
      </x:c>
      <x:c r="C225" s="45" t="str">
        <x:v>end_to_end</x:v>
      </x:c>
      <x:c r="D225" s="45" t="n">
        <x:v>24.1930238</x:v>
      </x:c>
      <x:c r="E225" s="45" t="n">
        <x:v>1.1965307287584748</x:v>
      </x:c>
    </x:row>
    <x:row r="226" ht="19" customHeight="1">
      <x:c r="A226" s="45" t="str">
        <x:v>replica_03</x:v>
      </x:c>
      <x:c r="B226" s="45" t="n">
        <x:v>4</x:v>
      </x:c>
      <x:c r="C226" s="45" t="str">
        <x:v>end_to_end</x:v>
      </x:c>
      <x:c r="D226" s="45" t="n">
        <x:v>25.456925199999997</x:v>
      </x:c>
      <x:c r="E226" s="45" t="n">
        <x:v>1.0613310044500603</x:v>
      </x:c>
    </x:row>
    <x:row r="227" ht="19" customHeight="1">
      <x:c r="A227" s="45" t="str">
        <x:v>replica_03</x:v>
      </x:c>
      <x:c r="B227" s="45" t="n">
        <x:v>5</x:v>
      </x:c>
      <x:c r="C227" s="45" t="str">
        <x:v>end_to_end</x:v>
      </x:c>
      <x:c r="D227" s="45" t="n">
        <x:v>25.0648476</x:v>
      </x:c>
      <x:c r="E227" s="45" t="n">
        <x:v>0.8376044001774545</x:v>
      </x:c>
    </x:row>
    <x:row r="228" ht="19" customHeight="1">
      <x:c r="A228" s="45" t="str">
        <x:v>replica_03</x:v>
      </x:c>
      <x:c r="B228" s="45" t="n">
        <x:v>6</x:v>
      </x:c>
      <x:c r="C228" s="45" t="str">
        <x:v>end_to_end</x:v>
      </x:c>
      <x:c r="D228" s="45" t="n">
        <x:v>24.0199644</x:v>
      </x:c>
      <x:c r="E228" s="45" t="n">
        <x:v>1.2161334576378584</x:v>
      </x:c>
    </x:row>
    <x:row r="229" ht="19" customHeight="1">
      <x:c r="A229" s="45" t="str">
        <x:v>replica_03</x:v>
      </x:c>
      <x:c r="B229" s="45" t="n">
        <x:v>7</x:v>
      </x:c>
      <x:c r="C229" s="45" t="str">
        <x:v>end_to_end</x:v>
      </x:c>
      <x:c r="D229" s="45" t="n">
        <x:v>25.280993600000002</x:v>
      </x:c>
      <x:c r="E229" s="45" t="n">
        <x:v>1.0675743868142415</x:v>
      </x:c>
    </x:row>
    <x:row r="230" ht="19" customHeight="1">
      <x:c r="A230" s="45" t="str">
        <x:v>replica_03</x:v>
      </x:c>
      <x:c r="B230" s="45" t="n">
        <x:v>8</x:v>
      </x:c>
      <x:c r="C230" s="45" t="str">
        <x:v>end_to_end</x:v>
      </x:c>
      <x:c r="D230" s="45" t="n">
        <x:v>23.8078546</x:v>
      </x:c>
      <x:c r="E230" s="45" t="n">
        <x:v>2.3030549386107486</x:v>
      </x:c>
    </x:row>
    <x:row r="231" ht="19" customHeight="1">
      <x:c r="A231" s="45" t="str">
        <x:v>replica_03</x:v>
      </x:c>
      <x:c r="B231" s="45" t="n">
        <x:v>9</x:v>
      </x:c>
      <x:c r="C231" s="45" t="str">
        <x:v>end_to_end</x:v>
      </x:c>
      <x:c r="D231" s="45" t="n">
        <x:v>18.7946374</x:v>
      </x:c>
      <x:c r="E231" s="45" t="n">
        <x:v>1.4057762383273276</x:v>
      </x:c>
    </x:row>
    <x:row r="232" ht="19" customHeight="1">
      <x:c r="A232" s="45" t="str">
        <x:v>replica_03</x:v>
      </x:c>
      <x:c r="B232" s="45" t="n">
        <x:v>10</x:v>
      </x:c>
      <x:c r="C232" s="45" t="str">
        <x:v>end_to_end</x:v>
      </x:c>
      <x:c r="D232" s="45" t="n">
        <x:v>18.3576558</x:v>
      </x:c>
      <x:c r="E232" s="45" t="n">
        <x:v>1.3664452664922215</x:v>
      </x:c>
    </x:row>
    <x:row r="233" ht="19" customHeight="1">
      <x:c r="A233" s="45" t="str">
        <x:v>replica_03</x:v>
      </x:c>
      <x:c r="B233" s="45" t="n">
        <x:v>1</x:v>
      </x:c>
      <x:c r="C233" s="45" t="str">
        <x:v>head_selected</x:v>
      </x:c>
      <x:c r="D233" s="45" t="n">
        <x:v>12.971804</x:v>
      </x:c>
      <x:c r="E233" s="45" t="n">
        <x:v>1.757258421491787</x:v>
      </x:c>
    </x:row>
    <x:row r="234" ht="19" customHeight="1">
      <x:c r="A234" s="45" t="str">
        <x:v>replica_03</x:v>
      </x:c>
      <x:c r="B234" s="45" t="n">
        <x:v>2</x:v>
      </x:c>
      <x:c r="C234" s="45" t="str">
        <x:v>head_selected</x:v>
      </x:c>
      <x:c r="D234" s="45" t="n">
        <x:v>9.982914000000001</x:v>
      </x:c>
      <x:c r="E234" s="45" t="n">
        <x:v>2.231357254452544</x:v>
      </x:c>
    </x:row>
    <x:row r="235" ht="19" customHeight="1">
      <x:c r="A235" s="45" t="str">
        <x:v>replica_03</x:v>
      </x:c>
      <x:c r="B235" s="45" t="n">
        <x:v>3</x:v>
      </x:c>
      <x:c r="C235" s="45" t="str">
        <x:v>head_selected</x:v>
      </x:c>
      <x:c r="D235" s="45" t="n">
        <x:v>8.562846</x:v>
      </x:c>
      <x:c r="E235" s="45" t="n">
        <x:v>1.060349351760805</x:v>
      </x:c>
    </x:row>
    <x:row r="236" ht="19" customHeight="1">
      <x:c r="A236" s="45" t="str">
        <x:v>replica_03</x:v>
      </x:c>
      <x:c r="B236" s="45" t="n">
        <x:v>4</x:v>
      </x:c>
      <x:c r="C236" s="45" t="str">
        <x:v>head_selected</x:v>
      </x:c>
      <x:c r="D236" s="45" t="n">
        <x:v>7.196334000000001</x:v>
      </x:c>
      <x:c r="E236" s="45" t="n">
        <x:v>1.435453292431874</x:v>
      </x:c>
    </x:row>
    <x:row r="237" ht="19" customHeight="1">
      <x:c r="A237" s="45" t="str">
        <x:v>replica_03</x:v>
      </x:c>
      <x:c r="B237" s="45" t="n">
        <x:v>5</x:v>
      </x:c>
      <x:c r="C237" s="45" t="str">
        <x:v>head_selected</x:v>
      </x:c>
      <x:c r="D237" s="45" t="n">
        <x:v>7.121612</x:v>
      </x:c>
      <x:c r="E237" s="45" t="n">
        <x:v>1.3740103209875683</x:v>
      </x:c>
    </x:row>
    <x:row r="238" ht="19" customHeight="1">
      <x:c r="A238" s="45" t="str">
        <x:v>replica_03</x:v>
      </x:c>
      <x:c r="B238" s="45" t="n">
        <x:v>6</x:v>
      </x:c>
      <x:c r="C238" s="45" t="str">
        <x:v>head_selected</x:v>
      </x:c>
      <x:c r="D238" s="45" t="n">
        <x:v>7.1257839999999995</x:v>
      </x:c>
      <x:c r="E238" s="45" t="n">
        <x:v>1.350771407802324</x:v>
      </x:c>
    </x:row>
    <x:row r="239" ht="19" customHeight="1">
      <x:c r="A239" s="45" t="str">
        <x:v>replica_03</x:v>
      </x:c>
      <x:c r="B239" s="45" t="n">
        <x:v>7</x:v>
      </x:c>
      <x:c r="C239" s="45" t="str">
        <x:v>head_selected</x:v>
      </x:c>
      <x:c r="D239" s="45" t="n">
        <x:v>5.724418</x:v>
      </x:c>
      <x:c r="E239" s="45" t="n">
        <x:v>1.4047564602810705</x:v>
      </x:c>
    </x:row>
    <x:row r="240" ht="19" customHeight="1">
      <x:c r="A240" s="45" t="str">
        <x:v>replica_03</x:v>
      </x:c>
      <x:c r="B240" s="45" t="n">
        <x:v>8</x:v>
      </x:c>
      <x:c r="C240" s="45" t="str">
        <x:v>head_selected</x:v>
      </x:c>
      <x:c r="D240" s="45" t="n">
        <x:v>7.819526</x:v>
      </x:c>
      <x:c r="E240" s="45" t="n">
        <x:v>1.3379591573502811</x:v>
      </x:c>
    </x:row>
    <x:row r="241" ht="19" customHeight="1">
      <x:c r="A241" s="45" t="str">
        <x:v>replica_03</x:v>
      </x:c>
      <x:c r="B241" s="45" t="n">
        <x:v>9</x:v>
      </x:c>
      <x:c r="C241" s="45" t="str">
        <x:v>head_selected</x:v>
      </x:c>
      <x:c r="D241" s="45" t="n">
        <x:v>7.808687999999999</x:v>
      </x:c>
      <x:c r="E241" s="45" t="n">
        <x:v>1.1081669488977093</x:v>
      </x:c>
    </x:row>
    <x:row r="242" ht="19" customHeight="1">
      <x:c r="A242" s="45" t="str">
        <x:v>replica_03</x:v>
      </x:c>
      <x:c r="B242" s="45" t="n">
        <x:v>10</x:v>
      </x:c>
      <x:c r="C242" s="45" t="str">
        <x:v>head_selected</x:v>
      </x:c>
      <x:c r="D242" s="45" t="n">
        <x:v>5.7739080000000005</x:v>
      </x:c>
      <x:c r="E242" s="45" t="n">
        <x:v>1.303673834388394</x:v>
      </x:c>
    </x:row>
    <x:row r="243" ht="19" customHeight="1">
      <x:c r="A243" s="45" t="str">
        <x:v>replica_03</x:v>
      </x:c>
      <x:c r="B243" s="45" t="n">
        <x:v>1</x:v>
      </x:c>
      <x:c r="C243" s="45" t="str">
        <x:v>head_any</x:v>
      </x:c>
      <x:c r="D243" s="45" t="n">
        <x:v>5.194834000000001</x:v>
      </x:c>
      <x:c r="E243" s="45" t="n">
        <x:v>0.9776069891805137</x:v>
      </x:c>
    </x:row>
    <x:row r="244" ht="19" customHeight="1">
      <x:c r="A244" s="45" t="str">
        <x:v>replica_03</x:v>
      </x:c>
      <x:c r="B244" s="45" t="n">
        <x:v>2</x:v>
      </x:c>
      <x:c r="C244" s="45" t="str">
        <x:v>head_any</x:v>
      </x:c>
      <x:c r="D244" s="45" t="n">
        <x:v>5.488392</x:v>
      </x:c>
      <x:c r="E244" s="45" t="n">
        <x:v>1.0624718231963484</x:v>
      </x:c>
    </x:row>
    <x:row r="245" ht="19" customHeight="1">
      <x:c r="A245" s="45" t="str">
        <x:v>replica_03</x:v>
      </x:c>
      <x:c r="B245" s="45" t="n">
        <x:v>3</x:v>
      </x:c>
      <x:c r="C245" s="45" t="str">
        <x:v>head_any</x:v>
      </x:c>
      <x:c r="D245" s="45" t="n">
        <x:v>5.6747939999999994</x:v>
      </x:c>
      <x:c r="E245" s="45" t="n">
        <x:v>0.9330144111141551</x:v>
      </x:c>
    </x:row>
    <x:row r="246" ht="19" customHeight="1">
      <x:c r="A246" s="45" t="str">
        <x:v>replica_03</x:v>
      </x:c>
      <x:c r="B246" s="45" t="n">
        <x:v>4</x:v>
      </x:c>
      <x:c r="C246" s="45" t="str">
        <x:v>head_any</x:v>
      </x:c>
      <x:c r="D246" s="45" t="n">
        <x:v>5.1099380000000005</x:v>
      </x:c>
      <x:c r="E246" s="45" t="n">
        <x:v>0.8999688116150246</x:v>
      </x:c>
    </x:row>
    <x:row r="247" ht="19" customHeight="1">
      <x:c r="A247" s="45" t="str">
        <x:v>replica_03</x:v>
      </x:c>
      <x:c r="B247" s="45" t="n">
        <x:v>5</x:v>
      </x:c>
      <x:c r="C247" s="45" t="str">
        <x:v>head_any</x:v>
      </x:c>
      <x:c r="D247" s="45" t="n">
        <x:v>4.71198</x:v>
      </x:c>
      <x:c r="E247" s="45" t="n">
        <x:v>0.7392211735921624</x:v>
      </x:c>
    </x:row>
    <x:row r="248" ht="19" customHeight="1">
      <x:c r="A248" s="45" t="str">
        <x:v>replica_03</x:v>
      </x:c>
      <x:c r="B248" s="45" t="n">
        <x:v>6</x:v>
      </x:c>
      <x:c r="C248" s="45" t="str">
        <x:v>head_any</x:v>
      </x:c>
      <x:c r="D248" s="45" t="n">
        <x:v>5.243879999999999</x:v>
      </x:c>
      <x:c r="E248" s="45" t="n">
        <x:v>0.879746215910485</x:v>
      </x:c>
    </x:row>
    <x:row r="249" ht="19" customHeight="1">
      <x:c r="A249" s="45" t="str">
        <x:v>replica_03</x:v>
      </x:c>
      <x:c r="B249" s="45" t="n">
        <x:v>7</x:v>
      </x:c>
      <x:c r="C249" s="45" t="str">
        <x:v>head_any</x:v>
      </x:c>
      <x:c r="D249" s="45" t="n">
        <x:v>4.65424</x:v>
      </x:c>
      <x:c r="E249" s="45" t="n">
        <x:v>0.5759960218911837</x:v>
      </x:c>
    </x:row>
    <x:row r="250" ht="19" customHeight="1">
      <x:c r="A250" s="45" t="str">
        <x:v>replica_03</x:v>
      </x:c>
      <x:c r="B250" s="45" t="n">
        <x:v>8</x:v>
      </x:c>
      <x:c r="C250" s="45" t="str">
        <x:v>head_any</x:v>
      </x:c>
      <x:c r="D250" s="45" t="n">
        <x:v>4.8814459999999995</x:v>
      </x:c>
      <x:c r="E250" s="45" t="n">
        <x:v>0.693514250116195</x:v>
      </x:c>
    </x:row>
    <x:row r="251" ht="19" customHeight="1">
      <x:c r="A251" s="45" t="str">
        <x:v>replica_03</x:v>
      </x:c>
      <x:c r="B251" s="45" t="n">
        <x:v>9</x:v>
      </x:c>
      <x:c r="C251" s="45" t="str">
        <x:v>head_any</x:v>
      </x:c>
      <x:c r="D251" s="45" t="n">
        <x:v>4.921294</x:v>
      </x:c>
      <x:c r="E251" s="45" t="n">
        <x:v>0.8966771120367136</x:v>
      </x:c>
    </x:row>
    <x:row r="252" ht="19" customHeight="1">
      <x:c r="A252" s="45" t="str">
        <x:v>replica_03</x:v>
      </x:c>
      <x:c r="B252" s="45" t="n">
        <x:v>10</x:v>
      </x:c>
      <x:c r="C252" s="45" t="str">
        <x:v>head_any</x:v>
      </x:c>
      <x:c r="D252" s="45" t="n">
        <x:v>4.665058000000001</x:v>
      </x:c>
      <x:c r="E252" s="45" t="n">
        <x:v>0.6915230429087288</x:v>
      </x:c>
    </x:row>
    <x:row r="253" ht="19" customHeight="1">
      <x:c r="A253" s="45" t="str">
        <x:v>replica_03</x:v>
      </x:c>
      <x:c r="B253" s="45" t="n">
        <x:v>1</x:v>
      </x:c>
      <x:c r="C253" s="45" t="str">
        <x:v>pfoa_polymer</x:v>
      </x:c>
      <x:c r="D253" s="45" t="n">
        <x:v>3.0096420000000004</x:v>
      </x:c>
      <x:c r="E253" s="45" t="n">
        <x:v>0.13890238868776278</x:v>
      </x:c>
    </x:row>
    <x:row r="254" ht="19" customHeight="1">
      <x:c r="A254" s="45" t="str">
        <x:v>replica_03</x:v>
      </x:c>
      <x:c r="B254" s="45" t="n">
        <x:v>2</x:v>
      </x:c>
      <x:c r="C254" s="45" t="str">
        <x:v>pfoa_polymer</x:v>
      </x:c>
      <x:c r="D254" s="45" t="n">
        <x:v>2.982488</x:v>
      </x:c>
      <x:c r="E254" s="45" t="n">
        <x:v>0.12325380666622604</x:v>
      </x:c>
    </x:row>
    <x:row r="255" ht="19" customHeight="1">
      <x:c r="A255" s="45" t="str">
        <x:v>replica_03</x:v>
      </x:c>
      <x:c r="B255" s="45" t="n">
        <x:v>3</x:v>
      </x:c>
      <x:c r="C255" s="45" t="str">
        <x:v>pfoa_polymer</x:v>
      </x:c>
      <x:c r="D255" s="45" t="n">
        <x:v>2.9752359999999998</x:v>
      </x:c>
      <x:c r="E255" s="45" t="n">
        <x:v>0.11902621048140248</x:v>
      </x:c>
    </x:row>
    <x:row r="256" ht="19" customHeight="1">
      <x:c r="A256" s="45" t="str">
        <x:v>replica_03</x:v>
      </x:c>
      <x:c r="B256" s="45" t="n">
        <x:v>4</x:v>
      </x:c>
      <x:c r="C256" s="45" t="str">
        <x:v>pfoa_polymer</x:v>
      </x:c>
      <x:c r="D256" s="45" t="n">
        <x:v>2.96246</x:v>
      </x:c>
      <x:c r="E256" s="45" t="n">
        <x:v>0.12064580897173714</x:v>
      </x:c>
    </x:row>
    <x:row r="257" ht="19" customHeight="1">
      <x:c r="A257" s="45" t="str">
        <x:v>replica_03</x:v>
      </x:c>
      <x:c r="B257" s="45" t="n">
        <x:v>5</x:v>
      </x:c>
      <x:c r="C257" s="45" t="str">
        <x:v>pfoa_polymer</x:v>
      </x:c>
      <x:c r="D257" s="45" t="n">
        <x:v>2.967452</x:v>
      </x:c>
      <x:c r="E257" s="45" t="n">
        <x:v>0.12193759572216029</x:v>
      </x:c>
    </x:row>
    <x:row r="258" ht="19" customHeight="1">
      <x:c r="A258" s="45" t="str">
        <x:v>replica_03</x:v>
      </x:c>
      <x:c r="B258" s="45" t="n">
        <x:v>6</x:v>
      </x:c>
      <x:c r="C258" s="45" t="str">
        <x:v>pfoa_polymer</x:v>
      </x:c>
      <x:c r="D258" s="45" t="n">
        <x:v>2.969402</x:v>
      </x:c>
      <x:c r="E258" s="45" t="n">
        <x:v>0.12662451552469503</x:v>
      </x:c>
    </x:row>
    <x:row r="259" ht="19" customHeight="1">
      <x:c r="A259" s="45" t="str">
        <x:v>replica_03</x:v>
      </x:c>
      <x:c r="B259" s="45" t="n">
        <x:v>7</x:v>
      </x:c>
      <x:c r="C259" s="45" t="str">
        <x:v>pfoa_polymer</x:v>
      </x:c>
      <x:c r="D259" s="45" t="n">
        <x:v>2.96525</x:v>
      </x:c>
      <x:c r="E259" s="45" t="n">
        <x:v>0.12029264374965146</x:v>
      </x:c>
    </x:row>
    <x:row r="260" ht="19" customHeight="1">
      <x:c r="A260" s="45" t="str">
        <x:v>replica_03</x:v>
      </x:c>
      <x:c r="B260" s="45" t="n">
        <x:v>8</x:v>
      </x:c>
      <x:c r="C260" s="45" t="str">
        <x:v>pfoa_polymer</x:v>
      </x:c>
      <x:c r="D260" s="45" t="n">
        <x:v>2.99061</x:v>
      </x:c>
      <x:c r="E260" s="45" t="n">
        <x:v>0.1174604777261497</x:v>
      </x:c>
    </x:row>
    <x:row r="261" ht="19" customHeight="1">
      <x:c r="A261" s="45" t="str">
        <x:v>replica_03</x:v>
      </x:c>
      <x:c r="B261" s="45" t="n">
        <x:v>9</x:v>
      </x:c>
      <x:c r="C261" s="45" t="str">
        <x:v>pfoa_polymer</x:v>
      </x:c>
      <x:c r="D261" s="45" t="n">
        <x:v>2.964718</x:v>
      </x:c>
      <x:c r="E261" s="45" t="n">
        <x:v>0.11890112459880993</x:v>
      </x:c>
    </x:row>
    <x:row r="262" ht="19" customHeight="1">
      <x:c r="A262" s="45" t="str">
        <x:v>replica_03</x:v>
      </x:c>
      <x:c r="B262" s="45" t="n">
        <x:v>10</x:v>
      </x:c>
      <x:c r="C262" s="45" t="str">
        <x:v>pfoa_polymer</x:v>
      </x:c>
      <x:c r="D262" s="45" t="n">
        <x:v>2.9488360000000005</x:v>
      </x:c>
      <x:c r="E262" s="45" t="n">
        <x:v>0.108564162866564</x:v>
      </x:c>
    </x:row>
    <x:row r="263" ht="19" customHeight="1">
      <x:c r="A263" s="45" t="str">
        <x:v>replica_03</x:v>
      </x:c>
      <x:c r="B263" s="45" t="n">
        <x:v>1</x:v>
      </x:c>
      <x:c r="C263" s="45" t="str">
        <x:v>polymer_image</x:v>
      </x:c>
      <x:c r="D263" s="45" t="n">
        <x:v>31.573971999999998</x:v>
      </x:c>
      <x:c r="E263" s="45" t="n">
        <x:v>1.9273315771377961</x:v>
      </x:c>
    </x:row>
    <x:row r="264" ht="19" customHeight="1">
      <x:c r="A264" s="45" t="str">
        <x:v>replica_03</x:v>
      </x:c>
      <x:c r="B264" s="45" t="n">
        <x:v>2</x:v>
      </x:c>
      <x:c r="C264" s="45" t="str">
        <x:v>polymer_image</x:v>
      </x:c>
      <x:c r="D264" s="45" t="n">
        <x:v>27.057189599999997</x:v>
      </x:c>
      <x:c r="E264" s="45" t="n">
        <x:v>2.770697913614701</x:v>
      </x:c>
    </x:row>
    <x:row r="265" ht="19" customHeight="1">
      <x:c r="A265" s="45" t="str">
        <x:v>replica_03</x:v>
      </x:c>
      <x:c r="B265" s="45" t="n">
        <x:v>3</x:v>
      </x:c>
      <x:c r="C265" s="45" t="str">
        <x:v>polymer_image</x:v>
      </x:c>
      <x:c r="D265" s="45" t="n">
        <x:v>28.6536354</x:v>
      </x:c>
      <x:c r="E265" s="45" t="n">
        <x:v>1.8864193492140122</x:v>
      </x:c>
    </x:row>
    <x:row r="266" ht="19" customHeight="1">
      <x:c r="A266" s="45" t="str">
        <x:v>replica_03</x:v>
      </x:c>
      <x:c r="B266" s="45" t="n">
        <x:v>4</x:v>
      </x:c>
      <x:c r="C266" s="45" t="str">
        <x:v>polymer_image</x:v>
      </x:c>
      <x:c r="D266" s="45" t="n">
        <x:v>30.781532199999997</x:v>
      </x:c>
      <x:c r="E266" s="45" t="n">
        <x:v>2.4488294173612477</x:v>
      </x:c>
    </x:row>
    <x:row r="267" ht="19" customHeight="1">
      <x:c r="A267" s="45" t="str">
        <x:v>replica_03</x:v>
      </x:c>
      <x:c r="B267" s="45" t="n">
        <x:v>5</x:v>
      </x:c>
      <x:c r="C267" s="45" t="str">
        <x:v>polymer_image</x:v>
      </x:c>
      <x:c r="D267" s="45" t="n">
        <x:v>31.6564138</x:v>
      </x:c>
      <x:c r="E267" s="45" t="n">
        <x:v>1.5441306368428915</x:v>
      </x:c>
    </x:row>
    <x:row r="268" ht="19" customHeight="1">
      <x:c r="A268" s="45" t="str">
        <x:v>replica_03</x:v>
      </x:c>
      <x:c r="B268" s="45" t="n">
        <x:v>6</x:v>
      </x:c>
      <x:c r="C268" s="45" t="str">
        <x:v>polymer_image</x:v>
      </x:c>
      <x:c r="D268" s="45" t="n">
        <x:v>29.2807474</x:v>
      </x:c>
      <x:c r="E268" s="45" t="n">
        <x:v>2.2095166226268965</x:v>
      </x:c>
    </x:row>
    <x:row r="269" ht="19" customHeight="1">
      <x:c r="A269" s="45" t="str">
        <x:v>replica_03</x:v>
      </x:c>
      <x:c r="B269" s="45" t="n">
        <x:v>7</x:v>
      </x:c>
      <x:c r="C269" s="45" t="str">
        <x:v>polymer_image</x:v>
      </x:c>
      <x:c r="D269" s="45" t="n">
        <x:v>30.129296399999998</x:v>
      </x:c>
      <x:c r="E269" s="45" t="n">
        <x:v>2.536745299231554</x:v>
      </x:c>
    </x:row>
    <x:row r="270" ht="19" customHeight="1">
      <x:c r="A270" s="45" t="str">
        <x:v>replica_03</x:v>
      </x:c>
      <x:c r="B270" s="45" t="n">
        <x:v>8</x:v>
      </x:c>
      <x:c r="C270" s="45" t="str">
        <x:v>polymer_image</x:v>
      </x:c>
      <x:c r="D270" s="45" t="n">
        <x:v>30.551891000000005</x:v>
      </x:c>
      <x:c r="E270" s="45" t="n">
        <x:v>2.9571867265308325</x:v>
      </x:c>
    </x:row>
    <x:row r="271" ht="19" customHeight="1">
      <x:c r="A271" s="45" t="str">
        <x:v>replica_03</x:v>
      </x:c>
      <x:c r="B271" s="45" t="n">
        <x:v>9</x:v>
      </x:c>
      <x:c r="C271" s="45" t="str">
        <x:v>polymer_image</x:v>
      </x:c>
      <x:c r="D271" s="45" t="n">
        <x:v>30.736184200000004</x:v>
      </x:c>
      <x:c r="E271" s="45" t="n">
        <x:v>1.8950457356831847</x:v>
      </x:c>
    </x:row>
    <x:row r="272" ht="19" customHeight="1">
      <x:c r="A272" s="45" t="str">
        <x:v>replica_03</x:v>
      </x:c>
      <x:c r="B272" s="45" t="n">
        <x:v>10</x:v>
      </x:c>
      <x:c r="C272" s="45" t="str">
        <x:v>polymer_image</x:v>
      </x:c>
      <x:c r="D272" s="45" t="n">
        <x:v>31.9841872</x:v>
      </x:c>
      <x:c r="E272" s="45" t="n">
        <x:v>2.0287391429299806</x:v>
      </x:c>
    </x:row>
    <x:row r="273" ht="19" customHeight="1">
      <x:c r="A273" s="45" t="str">
        <x:v>replica_03</x:v>
      </x:c>
      <x:c r="B273" s="45" t="n">
        <x:v>1</x:v>
      </x:c>
      <x:c r="C273" s="45" t="str">
        <x:v>pfoa_image</x:v>
      </x:c>
      <x:c r="D273" s="45" t="n">
        <x:v>43.8217906</x:v>
      </x:c>
      <x:c r="E273" s="45" t="n">
        <x:v>1.3246638770896457</x:v>
      </x:c>
    </x:row>
    <x:row r="274" ht="19" customHeight="1">
      <x:c r="A274" s="45" t="str">
        <x:v>replica_03</x:v>
      </x:c>
      <x:c r="B274" s="45" t="n">
        <x:v>2</x:v>
      </x:c>
      <x:c r="C274" s="45" t="str">
        <x:v>pfoa_image</x:v>
      </x:c>
      <x:c r="D274" s="45" t="n">
        <x:v>43.405349199999996</x:v>
      </x:c>
      <x:c r="E274" s="45" t="n">
        <x:v>1.7109921807959407</x:v>
      </x:c>
    </x:row>
    <x:row r="275" ht="19" customHeight="1">
      <x:c r="A275" s="45" t="str">
        <x:v>replica_03</x:v>
      </x:c>
      <x:c r="B275" s="45" t="n">
        <x:v>3</x:v>
      </x:c>
      <x:c r="C275" s="45" t="str">
        <x:v>pfoa_image</x:v>
      </x:c>
      <x:c r="D275" s="45" t="n">
        <x:v>45.109079799999996</x:v>
      </x:c>
      <x:c r="E275" s="45" t="n">
        <x:v>1.2780520579920975</x:v>
      </x:c>
    </x:row>
    <x:row r="276" ht="19" customHeight="1">
      <x:c r="A276" s="45" t="str">
        <x:v>replica_03</x:v>
      </x:c>
      <x:c r="B276" s="45" t="n">
        <x:v>4</x:v>
      </x:c>
      <x:c r="C276" s="45" t="str">
        <x:v>pfoa_image</x:v>
      </x:c>
      <x:c r="D276" s="45" t="n">
        <x:v>46.0064412</x:v>
      </x:c>
      <x:c r="E276" s="45" t="n">
        <x:v>1.0872958977763147</x:v>
      </x:c>
    </x:row>
    <x:row r="277" ht="19" customHeight="1">
      <x:c r="A277" s="45" t="str">
        <x:v>replica_03</x:v>
      </x:c>
      <x:c r="B277" s="45" t="n">
        <x:v>5</x:v>
      </x:c>
      <x:c r="C277" s="45" t="str">
        <x:v>pfoa_image</x:v>
      </x:c>
      <x:c r="D277" s="45" t="n">
        <x:v>44.1177932</x:v>
      </x:c>
      <x:c r="E277" s="45" t="n">
        <x:v>1.463306406776786</x:v>
      </x:c>
    </x:row>
    <x:row r="278" ht="19" customHeight="1">
      <x:c r="A278" s="45" t="str">
        <x:v>replica_03</x:v>
      </x:c>
      <x:c r="B278" s="45" t="n">
        <x:v>6</x:v>
      </x:c>
      <x:c r="C278" s="45" t="str">
        <x:v>pfoa_image</x:v>
      </x:c>
      <x:c r="D278" s="45" t="n">
        <x:v>46.620591</x:v>
      </x:c>
      <x:c r="E278" s="45" t="n">
        <x:v>0.9250332228334783</x:v>
      </x:c>
    </x:row>
    <x:row r="279" ht="19" customHeight="1">
      <x:c r="A279" s="45" t="str">
        <x:v>replica_03</x:v>
      </x:c>
      <x:c r="B279" s="45" t="n">
        <x:v>7</x:v>
      </x:c>
      <x:c r="C279" s="45" t="str">
        <x:v>pfoa_image</x:v>
      </x:c>
      <x:c r="D279" s="45" t="n">
        <x:v>42.992499800000004</x:v>
      </x:c>
      <x:c r="E279" s="45" t="n">
        <x:v>1.4638680261745156</x:v>
      </x:c>
    </x:row>
    <x:row r="280" ht="19" customHeight="1">
      <x:c r="A280" s="45" t="str">
        <x:v>replica_03</x:v>
      </x:c>
      <x:c r="B280" s="45" t="n">
        <x:v>8</x:v>
      </x:c>
      <x:c r="C280" s="45" t="str">
        <x:v>pfoa_image</x:v>
      </x:c>
      <x:c r="D280" s="45" t="n">
        <x:v>46.278815200000004</x:v>
      </x:c>
      <x:c r="E280" s="45" t="n">
        <x:v>0.6903337068857969</x:v>
      </x:c>
    </x:row>
    <x:row r="281" ht="19" customHeight="1">
      <x:c r="A281" s="45" t="str">
        <x:v>replica_03</x:v>
      </x:c>
      <x:c r="B281" s="45" t="n">
        <x:v>9</x:v>
      </x:c>
      <x:c r="C281" s="45" t="str">
        <x:v>pfoa_image</x:v>
      </x:c>
      <x:c r="D281" s="45" t="n">
        <x:v>46.2961388</x:v>
      </x:c>
      <x:c r="E281" s="45" t="n">
        <x:v>0.7555111296789065</x:v>
      </x:c>
    </x:row>
    <x:row r="282" ht="19" customHeight="1">
      <x:c r="A282" s="45" t="str">
        <x:v>replica_03</x:v>
      </x:c>
      <x:c r="B282" s="45" t="n">
        <x:v>10</x:v>
      </x:c>
      <x:c r="C282" s="45" t="str">
        <x:v>pfoa_image</x:v>
      </x:c>
      <x:c r="D282" s="45" t="n">
        <x:v>46.3949954</x:v>
      </x:c>
      <x:c r="E282" s="45" t="n">
        <x:v>0.8537644547574316</x:v>
      </x:c>
    </x:row>
    <x:row r="283" ht="19" customHeight="1">
      <x:c r="A283" s="45" t="str">
        <x:v>replica_03</x:v>
      </x:c>
      <x:c r="B283" s="45" t="n">
        <x:v>1</x:v>
      </x:c>
      <x:c r="C283" s="45" t="str">
        <x:v>tail_contacts</x:v>
      </x:c>
      <x:c r="D283" s="45" t="n">
        <x:v>15.038</x:v>
      </x:c>
      <x:c r="E283" s="45" t="n">
        <x:v>3.3260609379152166</x:v>
      </x:c>
    </x:row>
    <x:row r="284" ht="19" customHeight="1">
      <x:c r="A284" s="45" t="str">
        <x:v>replica_03</x:v>
      </x:c>
      <x:c r="B284" s="45" t="n">
        <x:v>2</x:v>
      </x:c>
      <x:c r="C284" s="45" t="str">
        <x:v>tail_contacts</x:v>
      </x:c>
      <x:c r="D284" s="45" t="n">
        <x:v>15.742</x:v>
      </x:c>
      <x:c r="E284" s="45" t="n">
        <x:v>3.0281637259405585</x:v>
      </x:c>
    </x:row>
    <x:row r="285" ht="19" customHeight="1">
      <x:c r="A285" s="45" t="str">
        <x:v>replica_03</x:v>
      </x:c>
      <x:c r="B285" s="45" t="n">
        <x:v>3</x:v>
      </x:c>
      <x:c r="C285" s="45" t="str">
        <x:v>tail_contacts</x:v>
      </x:c>
      <x:c r="D285" s="45" t="n">
        <x:v>16.492</x:v>
      </x:c>
      <x:c r="E285" s="45" t="n">
        <x:v>2.732924028855356</x:v>
      </x:c>
    </x:row>
    <x:row r="286" ht="19" customHeight="1">
      <x:c r="A286" s="45" t="str">
        <x:v>replica_03</x:v>
      </x:c>
      <x:c r="B286" s="45" t="n">
        <x:v>4</x:v>
      </x:c>
      <x:c r="C286" s="45" t="str">
        <x:v>tail_contacts</x:v>
      </x:c>
      <x:c r="D286" s="45" t="n">
        <x:v>20.402</x:v>
      </x:c>
      <x:c r="E286" s="45" t="n">
        <x:v>4.2961972279264</x:v>
      </x:c>
    </x:row>
    <x:row r="287" ht="19" customHeight="1">
      <x:c r="A287" s="45" t="str">
        <x:v>replica_03</x:v>
      </x:c>
      <x:c r="B287" s="45" t="n">
        <x:v>5</x:v>
      </x:c>
      <x:c r="C287" s="45" t="str">
        <x:v>tail_contacts</x:v>
      </x:c>
      <x:c r="D287" s="45" t="n">
        <x:v>18.61</x:v>
      </x:c>
      <x:c r="E287" s="45" t="n">
        <x:v>3.636529760278993</x:v>
      </x:c>
    </x:row>
    <x:row r="288" ht="19" customHeight="1">
      <x:c r="A288" s="45" t="str">
        <x:v>replica_03</x:v>
      </x:c>
      <x:c r="B288" s="45" t="n">
        <x:v>6</x:v>
      </x:c>
      <x:c r="C288" s="45" t="str">
        <x:v>tail_contacts</x:v>
      </x:c>
      <x:c r="D288" s="45" t="n">
        <x:v>16.27</x:v>
      </x:c>
      <x:c r="E288" s="45" t="n">
        <x:v>2.488671728844103</x:v>
      </x:c>
    </x:row>
    <x:row r="289" ht="19" customHeight="1">
      <x:c r="A289" s="45" t="str">
        <x:v>replica_03</x:v>
      </x:c>
      <x:c r="B289" s="45" t="n">
        <x:v>7</x:v>
      </x:c>
      <x:c r="C289" s="45" t="str">
        <x:v>tail_contacts</x:v>
      </x:c>
      <x:c r="D289" s="45" t="n">
        <x:v>17.026</x:v>
      </x:c>
      <x:c r="E289" s="45" t="n">
        <x:v>3.4305774620968545</x:v>
      </x:c>
    </x:row>
    <x:row r="290" ht="19" customHeight="1">
      <x:c r="A290" s="45" t="str">
        <x:v>replica_03</x:v>
      </x:c>
      <x:c r="B290" s="45" t="n">
        <x:v>8</x:v>
      </x:c>
      <x:c r="C290" s="45" t="str">
        <x:v>tail_contacts</x:v>
      </x:c>
      <x:c r="D290" s="45" t="n">
        <x:v>18.154</x:v>
      </x:c>
      <x:c r="E290" s="45" t="n">
        <x:v>2.8932725506084296</x:v>
      </x:c>
    </x:row>
    <x:row r="291" ht="19" customHeight="1">
      <x:c r="A291" s="45" t="str">
        <x:v>replica_03</x:v>
      </x:c>
      <x:c r="B291" s="45" t="n">
        <x:v>9</x:v>
      </x:c>
      <x:c r="C291" s="45" t="str">
        <x:v>tail_contacts</x:v>
      </x:c>
      <x:c r="D291" s="45" t="n">
        <x:v>17.858</x:v>
      </x:c>
      <x:c r="E291" s="45" t="n">
        <x:v>3.10307817954636</x:v>
      </x:c>
    </x:row>
    <x:row r="292" ht="19" customHeight="1">
      <x:c r="A292" s="45" t="str">
        <x:v>replica_03</x:v>
      </x:c>
      <x:c r="B292" s="45" t="n">
        <x:v>10</x:v>
      </x:c>
      <x:c r="C292" s="45" t="str">
        <x:v>tail_contacts</x:v>
      </x:c>
      <x:c r="D292" s="45" t="n">
        <x:v>24.488</x:v>
      </x:c>
      <x:c r="E292" s="45" t="n">
        <x:v>4.448531765621044</x:v>
      </x:c>
    </x:row>
    <x:row r="293" ht="19" customHeight="1">
      <x:c r="A293" s="45" t="str">
        <x:v>replica_03</x:v>
      </x:c>
      <x:c r="B293" s="45" t="n">
        <x:v>1</x:v>
      </x:c>
      <x:c r="C293" s="45" t="str">
        <x:v>tail_waters</x:v>
      </x:c>
      <x:c r="D293" s="45" t="n">
        <x:v>37.882</x:v>
      </x:c>
      <x:c r="E293" s="45" t="n">
        <x:v>5.173161431696946</x:v>
      </x:c>
    </x:row>
    <x:row r="294" ht="19" customHeight="1">
      <x:c r="A294" s="45" t="str">
        <x:v>replica_03</x:v>
      </x:c>
      <x:c r="B294" s="45" t="n">
        <x:v>2</x:v>
      </x:c>
      <x:c r="C294" s="45" t="str">
        <x:v>tail_waters</x:v>
      </x:c>
      <x:c r="D294" s="45" t="n">
        <x:v>39.316</x:v>
      </x:c>
      <x:c r="E294" s="45" t="n">
        <x:v>2.9184205243099264</x:v>
      </x:c>
    </x:row>
    <x:row r="295" ht="19" customHeight="1">
      <x:c r="A295" s="45" t="str">
        <x:v>replica_03</x:v>
      </x:c>
      <x:c r="B295" s="45" t="n">
        <x:v>3</x:v>
      </x:c>
      <x:c r="C295" s="45" t="str">
        <x:v>tail_waters</x:v>
      </x:c>
      <x:c r="D295" s="45" t="n">
        <x:v>38.88</x:v>
      </x:c>
      <x:c r="E295" s="45" t="n">
        <x:v>2.974440214423271</x:v>
      </x:c>
    </x:row>
    <x:row r="296" ht="19" customHeight="1">
      <x:c r="A296" s="45" t="str">
        <x:v>replica_03</x:v>
      </x:c>
      <x:c r="B296" s="45" t="n">
        <x:v>4</x:v>
      </x:c>
      <x:c r="C296" s="45" t="str">
        <x:v>tail_waters</x:v>
      </x:c>
      <x:c r="D296" s="45" t="n">
        <x:v>34.126</x:v>
      </x:c>
      <x:c r="E296" s="45" t="n">
        <x:v>4.518734548947049</x:v>
      </x:c>
    </x:row>
    <x:row r="297" ht="19" customHeight="1">
      <x:c r="A297" s="45" t="str">
        <x:v>replica_03</x:v>
      </x:c>
      <x:c r="B297" s="45" t="n">
        <x:v>5</x:v>
      </x:c>
      <x:c r="C297" s="45" t="str">
        <x:v>tail_waters</x:v>
      </x:c>
      <x:c r="D297" s="45" t="n">
        <x:v>35.126</x:v>
      </x:c>
      <x:c r="E297" s="45" t="n">
        <x:v>3.7080484417673114</x:v>
      </x:c>
    </x:row>
    <x:row r="298" ht="19" customHeight="1">
      <x:c r="A298" s="45" t="str">
        <x:v>replica_03</x:v>
      </x:c>
      <x:c r="B298" s="45" t="n">
        <x:v>6</x:v>
      </x:c>
      <x:c r="C298" s="45" t="str">
        <x:v>tail_waters</x:v>
      </x:c>
      <x:c r="D298" s="45" t="n">
        <x:v>39.972</x:v>
      </x:c>
      <x:c r="E298" s="45" t="n">
        <x:v>3.167219373064365</x:v>
      </x:c>
    </x:row>
    <x:row r="299" ht="19" customHeight="1">
      <x:c r="A299" s="45" t="str">
        <x:v>replica_03</x:v>
      </x:c>
      <x:c r="B299" s="45" t="n">
        <x:v>7</x:v>
      </x:c>
      <x:c r="C299" s="45" t="str">
        <x:v>tail_waters</x:v>
      </x:c>
      <x:c r="D299" s="45" t="n">
        <x:v>37.834</x:v>
      </x:c>
      <x:c r="E299" s="45" t="n">
        <x:v>3.23842845183823</x:v>
      </x:c>
    </x:row>
    <x:row r="300" ht="19" customHeight="1">
      <x:c r="A300" s="45" t="str">
        <x:v>replica_03</x:v>
      </x:c>
      <x:c r="B300" s="45" t="n">
        <x:v>8</x:v>
      </x:c>
      <x:c r="C300" s="45" t="str">
        <x:v>tail_waters</x:v>
      </x:c>
      <x:c r="D300" s="45" t="n">
        <x:v>33.464</x:v>
      </x:c>
      <x:c r="E300" s="45" t="n">
        <x:v>2.8574523737301853</x:v>
      </x:c>
    </x:row>
    <x:row r="301" ht="19" customHeight="1">
      <x:c r="A301" s="45" t="str">
        <x:v>replica_03</x:v>
      </x:c>
      <x:c r="B301" s="45" t="n">
        <x:v>9</x:v>
      </x:c>
      <x:c r="C301" s="45" t="str">
        <x:v>tail_waters</x:v>
      </x:c>
      <x:c r="D301" s="45" t="n">
        <x:v>36.52</x:v>
      </x:c>
      <x:c r="E301" s="45" t="n">
        <x:v>4.889725844837863</x:v>
      </x:c>
    </x:row>
    <x:row r="302" ht="19" customHeight="1">
      <x:c r="A302" s="45" t="str">
        <x:v>replica_03</x:v>
      </x:c>
      <x:c r="B302" s="45" t="n">
        <x:v>10</x:v>
      </x:c>
      <x:c r="C302" s="45" t="str">
        <x:v>tail_waters</x:v>
      </x:c>
      <x:c r="D302" s="45" t="n">
        <x:v>29.14</x:v>
      </x:c>
      <x:c r="E302" s="45" t="n">
        <x:v>3.0579571946658795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0.779998779296875" hidden="0" customWidth="1"/>
    <x:col min="2" max="2" width="10.329999923706055" hidden="0" customWidth="1"/>
    <x:col min="3" max="3" width="10" hidden="0" customWidth="1"/>
    <x:col min="4" max="4" width="9.4399995803833" hidden="0" customWidth="1"/>
    <x:col min="5" max="5" width="9.109999656677246" hidden="0" customWidth="1"/>
    <x:col min="6" max="6" width="14.890000343322754" hidden="0" customWidth="1"/>
    <x:col min="7" max="7" width="7.889999866485596" hidden="0" customWidth="1"/>
    <x:col min="8" max="8" width="8.5600004196167" hidden="0" customWidth="1"/>
    <x:col min="9" max="9" width="16.219999313354492" hidden="0" customWidth="1"/>
    <x:col min="10" max="10" width="14.220000267028809" hidden="0" customWidth="1"/>
    <x:col min="11" max="11" width="16.440000534057617" hidden="0" customWidth="1"/>
    <x:col min="12" max="12" width="16.670000076293945" hidden="0" customWidth="1"/>
  </x:cols>
  <x:sheetData>
    <x:row r="1" ht="15" hidden="0" customHeight="1">
      <x:c r="A1" s="21" t="str">
        <x:v>Table S9. Molecular dynamics sampling diagnostics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3"/>
    </x:row>
    <x:row r="2" ht="42" hidden="0" customHeight="1">
      <x:c r="A2" s="38" t="str">
        <x:v>replica</x:v>
      </x:c>
      <x:c r="B2" s="39" t="str">
        <x:v>metric</x:v>
      </x:c>
      <x:c r="C2" s="39" t="str">
        <x:v>ess</x:v>
      </x:c>
      <x:c r="D2" s="39" t="str">
        <x:v>early_mean</x:v>
      </x:c>
      <x:c r="E2" s="39" t="str">
        <x:v>late_mean</x:v>
      </x:c>
      <x:c r="F2" s="39" t="str">
        <x:v>standardized_shift</x:v>
      </x:c>
      <x:c r="G2" s="39" t="str">
        <x:v>replica_mean_range</x:v>
      </x:c>
      <x:c r="H2" s="39" t="str">
        <x:v>pooled_within_sd</x:v>
      </x:c>
      <x:c r="I2" s="39" t="str">
        <x:v>replica_spread_ratio</x:v>
      </x:c>
      <x:c r="J2" s="25"/>
      <x:c r="K2" s="25"/>
      <x:c r="L2" s="26"/>
    </x:row>
    <x:row r="3" ht="15" hidden="0" customHeight="1">
      <x:c r="A3" s="15" t="str">
        <x:v>replica_01</x:v>
      </x:c>
      <x:c r="B3" s="16" t="str">
        <x:v>rg</x:v>
      </x:c>
      <x:c r="C3" s="16" t="n">
        <x:v>17.87778095662472</x:v>
      </x:c>
      <x:c r="D3" s="16" t="n">
        <x:v>9.581197</x:v>
      </x:c>
      <x:c r="E3" s="16" t="n">
        <x:v>9.418598600000001</x:v>
      </x:c>
      <x:c r="F3" s="16" t="n">
        <x:v>0.6074726087592286</x:v>
      </x:c>
      <x:c r="G3" s="16" t="n">
        <x:v>0.04235539999999993</x:v>
      </x:c>
      <x:c r="H3" s="16" t="n">
        <x:v>0.2504330654068603</x:v>
      </x:c>
      <x:c r="I3" s="16" t="n">
        <x:v>0.16912862497285736</x:v>
      </x:c>
      <x:c r="J3" s="16"/>
      <x:c r="K3" s="16"/>
      <x:c r="L3" s="17"/>
    </x:row>
    <x:row r="4" ht="15" hidden="0" customHeight="1">
      <x:c r="A4" s="15" t="str">
        <x:v>replica_02</x:v>
      </x:c>
      <x:c r="B4" s="16" t="str">
        <x:v>rg</x:v>
      </x:c>
      <x:c r="C4" s="16" t="n">
        <x:v>11.515684868042815</x:v>
      </x:c>
      <x:c r="D4" s="16" t="n">
        <x:v>9.607657</x:v>
      </x:c>
      <x:c r="E4" s="16" t="n">
        <x:v>9.119898</x:v>
      </x:c>
      <x:c r="F4" s="16" t="n">
        <x:v>1.8451124335287414</x:v>
      </x:c>
      <x:c r="G4" s="16" t="n">
        <x:v>0.04235539999999993</x:v>
      </x:c>
      <x:c r="H4" s="16" t="n">
        <x:v>0.2504330654068603</x:v>
      </x:c>
      <x:c r="I4" s="16" t="n">
        <x:v>0.16912862497285736</x:v>
      </x:c>
      <x:c r="J4" s="16"/>
      <x:c r="K4" s="16"/>
      <x:c r="L4" s="17"/>
    </x:row>
    <x:row r="5" ht="15" hidden="0" customHeight="1">
      <x:c r="A5" s="15" t="str">
        <x:v>replica_03</x:v>
      </x:c>
      <x:c r="B5" s="16" t="str">
        <x:v>rg</x:v>
      </x:c>
      <x:c r="C5" s="16" t="n">
        <x:v>20.02589407614557</x:v>
      </x:c>
      <x:c r="D5" s="16" t="n">
        <x:v>9.461221799999999</x:v>
      </x:c>
      <x:c r="E5" s="16" t="n">
        <x:v>8.983577799999999</x:v>
      </x:c>
      <x:c r="F5" s="16" t="n">
        <x:v>2.21206545166851</x:v>
      </x:c>
      <x:c r="G5" s="16" t="n">
        <x:v>0.04235539999999993</x:v>
      </x:c>
      <x:c r="H5" s="16" t="n">
        <x:v>0.2504330654068603</x:v>
      </x:c>
      <x:c r="I5" s="16" t="n">
        <x:v>0.16912862497285736</x:v>
      </x:c>
      <x:c r="J5" s="16"/>
      <x:c r="K5" s="16"/>
      <x:c r="L5" s="17"/>
    </x:row>
    <x:row r="6" ht="15" hidden="0" customHeight="1">
      <x:c r="A6" s="15" t="str">
        <x:v>replica_01</x:v>
      </x:c>
      <x:c r="B6" s="16" t="str">
        <x:v>end_to_end</x:v>
      </x:c>
      <x:c r="C6" s="16" t="n">
        <x:v>13.418446620275239</x:v>
      </x:c>
      <x:c r="D6" s="16" t="n">
        <x:v>23.3498074</x:v>
      </x:c>
      <x:c r="E6" s="16" t="n">
        <x:v>25.949313199999995</x:v>
      </x:c>
      <x:c r="F6" s="16" t="n">
        <x:v>1.1049430505483149</x:v>
      </x:c>
      <x:c r="G6" s="16" t="n">
        <x:v>1.48348644</x:v>
      </x:c>
      <x:c r="H6" s="16" t="n">
        <x:v>2.292455703997192</x:v>
      </x:c>
      <x:c r="I6" s="16" t="n">
        <x:v>0.6471167305057848</x:v>
      </x:c>
      <x:c r="J6" s="16"/>
      <x:c r="K6" s="16"/>
      <x:c r="L6" s="17"/>
    </x:row>
    <x:row r="7" ht="15" hidden="0" customHeight="1">
      <x:c r="A7" s="15" t="str">
        <x:v>replica_02</x:v>
      </x:c>
      <x:c r="B7" s="16" t="str">
        <x:v>end_to_end</x:v>
      </x:c>
      <x:c r="C7" s="16" t="n">
        <x:v>35.03450235760585</x:v>
      </x:c>
      <x:c r="D7" s="16" t="n">
        <x:v>23.8988782</x:v>
      </x:c>
      <x:c r="E7" s="16" t="n">
        <x:v>22.998337199999998</x:v>
      </x:c>
      <x:c r="F7" s="16" t="n">
        <x:v>0.564007165608984</x:v>
      </x:c>
      <x:c r="G7" s="16" t="n">
        <x:v>1.48348644</x:v>
      </x:c>
      <x:c r="H7" s="16" t="n">
        <x:v>2.292455703997192</x:v>
      </x:c>
      <x:c r="I7" s="16" t="n">
        <x:v>0.6471167305057848</x:v>
      </x:c>
      <x:c r="J7" s="16"/>
      <x:c r="K7" s="16"/>
      <x:c r="L7" s="17"/>
    </x:row>
    <x:row r="8" ht="15" hidden="0" customHeight="1">
      <x:c r="A8" s="15" t="str">
        <x:v>replica_03</x:v>
      </x:c>
      <x:c r="B8" s="16" t="str">
        <x:v>end_to_end</x:v>
      </x:c>
      <x:c r="C8" s="16" t="n">
        <x:v>5.917589325522786</x:v>
      </x:c>
      <x:c r="D8" s="16" t="n">
        <x:v>23.9003328</x:v>
      </x:c>
      <x:c r="E8" s="16" t="n">
        <x:v>18.3576558</x:v>
      </x:c>
      <x:c r="F8" s="16" t="n">
        <x:v>1.9997987880241113</x:v>
      </x:c>
      <x:c r="G8" s="16" t="n">
        <x:v>1.48348644</x:v>
      </x:c>
      <x:c r="H8" s="16" t="n">
        <x:v>2.292455703997192</x:v>
      </x:c>
      <x:c r="I8" s="16" t="n">
        <x:v>0.6471167305057848</x:v>
      </x:c>
      <x:c r="J8" s="16"/>
      <x:c r="K8" s="16"/>
      <x:c r="L8" s="17"/>
    </x:row>
    <x:row r="9" ht="15" hidden="0" customHeight="1">
      <x:c r="A9" s="15" t="str">
        <x:v>replica_01</x:v>
      </x:c>
      <x:c r="B9" s="16" t="str">
        <x:v>head_any</x:v>
      </x:c>
      <x:c r="C9" s="16" t="n">
        <x:v>212.31851563581165</x:v>
      </x:c>
      <x:c r="D9" s="16" t="n">
        <x:v>5.176436</x:v>
      </x:c>
      <x:c r="E9" s="16" t="n">
        <x:v>4.98624</x:v>
      </x:c>
      <x:c r="F9" s="16" t="n">
        <x:v>0.2076085027051164</x:v>
      </x:c>
      <x:c r="G9" s="16" t="n">
        <x:v>0.11021180000000008</x:v>
      </x:c>
      <x:c r="H9" s="16" t="n">
        <x:v>0.900893519009773</x:v>
      </x:c>
      <x:c r="I9" s="16" t="n">
        <x:v>0.1223361004096695</x:v>
      </x:c>
      <x:c r="J9" s="16"/>
      <x:c r="K9" s="16"/>
      <x:c r="L9" s="17"/>
    </x:row>
    <x:row r="10" ht="15" hidden="0" customHeight="1">
      <x:c r="A10" s="15" t="str">
        <x:v>replica_02</x:v>
      </x:c>
      <x:c r="B10" s="16" t="str">
        <x:v>head_any</x:v>
      </x:c>
      <x:c r="C10" s="16" t="n">
        <x:v>163.64909702671184</x:v>
      </x:c>
      <x:c r="D10" s="16" t="n">
        <x:v>5.477406</x:v>
      </x:c>
      <x:c r="E10" s="16" t="n">
        <x:v>4.8751880000000005</x:v>
      </x:c>
      <x:c r="F10" s="16" t="n">
        <x:v>0.6872227205178216</x:v>
      </x:c>
      <x:c r="G10" s="16" t="n">
        <x:v>0.11021180000000008</x:v>
      </x:c>
      <x:c r="H10" s="16" t="n">
        <x:v>0.900893519009773</x:v>
      </x:c>
      <x:c r="I10" s="16" t="n">
        <x:v>0.1223361004096695</x:v>
      </x:c>
      <x:c r="J10" s="16"/>
      <x:c r="K10" s="16"/>
      <x:c r="L10" s="17"/>
    </x:row>
    <x:row r="11" ht="15" hidden="0" customHeight="1">
      <x:c r="A11" s="15" t="str">
        <x:v>replica_03</x:v>
      </x:c>
      <x:c r="B11" s="16" t="str">
        <x:v>head_any</x:v>
      </x:c>
      <x:c r="C11" s="16" t="n">
        <x:v>38.360054423141214</x:v>
      </x:c>
      <x:c r="D11" s="16" t="n">
        <x:v>5.194834000000001</x:v>
      </x:c>
      <x:c r="E11" s="16" t="n">
        <x:v>4.665058000000001</x:v>
      </x:c>
      <x:c r="F11" s="16" t="n">
        <x:v>0.5823392416858361</x:v>
      </x:c>
      <x:c r="G11" s="16" t="n">
        <x:v>0.11021180000000008</x:v>
      </x:c>
      <x:c r="H11" s="16" t="n">
        <x:v>0.900893519009773</x:v>
      </x:c>
      <x:c r="I11" s="16" t="n">
        <x:v>0.1223361004096695</x:v>
      </x:c>
      <x:c r="J11" s="16"/>
      <x:c r="K11" s="16"/>
      <x:c r="L11" s="17"/>
    </x:row>
    <x:row r="12" ht="15" hidden="0" customHeight="1">
      <x:c r="A12" s="15" t="str">
        <x:v>replica_01</x:v>
      </x:c>
      <x:c r="B12" s="16" t="str">
        <x:v>pfoa_polymer</x:v>
      </x:c>
      <x:c r="C12" s="16" t="n">
        <x:v>54.658322186070066</x:v>
      </x:c>
      <x:c r="D12" s="16" t="n">
        <x:v>2.975072</x:v>
      </x:c>
      <x:c r="E12" s="16" t="n">
        <x:v>3.086926</x:v>
      </x:c>
      <x:c r="F12" s="16" t="n">
        <x:v>0.7791685312527113</x:v>
      </x:c>
      <x:c r="G12" s="16" t="n">
        <x:v>0.039924800000000094</x:v>
      </x:c>
      <x:c r="H12" s="16" t="n">
        <x:v>0.13587708765489706</x:v>
      </x:c>
      <x:c r="I12" s="16" t="n">
        <x:v>0.29383026004650453</x:v>
      </x:c>
      <x:c r="J12" s="16"/>
      <x:c r="K12" s="16"/>
      <x:c r="L12" s="17"/>
    </x:row>
    <x:row r="13" ht="15" hidden="0" customHeight="1">
      <x:c r="A13" s="15" t="str">
        <x:v>replica_02</x:v>
      </x:c>
      <x:c r="B13" s="16" t="str">
        <x:v>pfoa_polymer</x:v>
      </x:c>
      <x:c r="C13" s="16" t="n">
        <x:v>288.1420937411734</x:v>
      </x:c>
      <x:c r="D13" s="16" t="n">
        <x:v>2.979294</x:v>
      </x:c>
      <x:c r="E13" s="16" t="n">
        <x:v>3.038438</x:v>
      </x:c>
      <x:c r="F13" s="16" t="n">
        <x:v>0.4212243446670482</x:v>
      </x:c>
      <x:c r="G13" s="16" t="n">
        <x:v>0.039924800000000094</x:v>
      </x:c>
      <x:c r="H13" s="16" t="n">
        <x:v>0.13587708765489706</x:v>
      </x:c>
      <x:c r="I13" s="16" t="n">
        <x:v>0.29383026004650453</x:v>
      </x:c>
      <x:c r="J13" s="16"/>
      <x:c r="K13" s="16"/>
      <x:c r="L13" s="17"/>
    </x:row>
    <x:row r="14" ht="15" hidden="0" customHeight="1">
      <x:c r="A14" s="18" t="str">
        <x:v>replica_03</x:v>
      </x:c>
      <x:c r="B14" s="19" t="str">
        <x:v>pfoa_polymer</x:v>
      </x:c>
      <x:c r="C14" s="19" t="n">
        <x:v>1710.2190787676093</x:v>
      </x:c>
      <x:c r="D14" s="19" t="n">
        <x:v>3.0096420000000004</x:v>
      </x:c>
      <x:c r="E14" s="19" t="n">
        <x:v>2.9488360000000005</x:v>
      </x:c>
      <x:c r="F14" s="19" t="n">
        <x:v>0.49541250818766813</x:v>
      </x:c>
      <x:c r="G14" s="19" t="n">
        <x:v>0.039924800000000094</x:v>
      </x:c>
      <x:c r="H14" s="19" t="n">
        <x:v>0.13587708765489706</x:v>
      </x:c>
      <x:c r="I14" s="19" t="n">
        <x:v>0.29383026004650453</x:v>
      </x:c>
      <x:c r="J14" s="19"/>
      <x:c r="K14" s="19"/>
      <x:c r="L14" s="2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1" hidden="0" customWidth="1"/>
    <x:col min="2" max="2" width="7.559999942779541" hidden="0" customWidth="1"/>
    <x:col min="3" max="3" width="24.559999465942383" hidden="0" customWidth="1"/>
  </x:cols>
  <x:sheetData>
    <x:row r="1" ht="44" hidden="0" customHeight="1">
      <x:c r="A1" s="69" t="str">
        <x:v>Table S10. PFOA headgroup contact fraction below 5 Å by one-nanosecond block</x:v>
      </x:c>
      <x:c r="B1" s="70"/>
      <x:c r="C1" s="71"/>
    </x:row>
    <x:row r="2" ht="42" hidden="0" customHeight="1">
      <x:c r="A2" s="38" t="str">
        <x:v>replica</x:v>
      </x:c>
      <x:c r="B2" s="39" t="str">
        <x:v>block_ns</x:v>
      </x:c>
      <x:c r="C2" s="40" t="str">
        <x:v>fraction_head_anyN_below_5A</x:v>
      </x:c>
    </x:row>
    <x:row r="3" ht="15" hidden="0" customHeight="1">
      <x:c r="A3" s="15" t="str">
        <x:v>replica_01</x:v>
      </x:c>
      <x:c r="B3" s="16" t="n">
        <x:v>1</x:v>
      </x:c>
      <x:c r="C3" s="17" t="n">
        <x:v>0.514</x:v>
      </x:c>
    </x:row>
    <x:row r="4" ht="15" hidden="0" customHeight="1">
      <x:c r="A4" s="15" t="str">
        <x:v>replica_01</x:v>
      </x:c>
      <x:c r="B4" s="16" t="n">
        <x:v>2</x:v>
      </x:c>
      <x:c r="C4" s="17" t="n">
        <x:v>0.538</x:v>
      </x:c>
    </x:row>
    <x:row r="5" ht="15" hidden="0" customHeight="1">
      <x:c r="A5" s="15" t="str">
        <x:v>replica_01</x:v>
      </x:c>
      <x:c r="B5" s="16" t="n">
        <x:v>3</x:v>
      </x:c>
      <x:c r="C5" s="17" t="n">
        <x:v>0.44</x:v>
      </x:c>
    </x:row>
    <x:row r="6" ht="15" hidden="0" customHeight="1">
      <x:c r="A6" s="15" t="str">
        <x:v>replica_01</x:v>
      </x:c>
      <x:c r="B6" s="16" t="n">
        <x:v>4</x:v>
      </x:c>
      <x:c r="C6" s="17" t="n">
        <x:v>0.41</x:v>
      </x:c>
    </x:row>
    <x:row r="7" ht="15" hidden="0" customHeight="1">
      <x:c r="A7" s="15" t="str">
        <x:v>replica_01</x:v>
      </x:c>
      <x:c r="B7" s="16" t="n">
        <x:v>5</x:v>
      </x:c>
      <x:c r="C7" s="17" t="n">
        <x:v>0.322</x:v>
      </x:c>
    </x:row>
    <x:row r="8" ht="15" hidden="0" customHeight="1">
      <x:c r="A8" s="15" t="str">
        <x:v>replica_01</x:v>
      </x:c>
      <x:c r="B8" s="16" t="n">
        <x:v>6</x:v>
      </x:c>
      <x:c r="C8" s="17" t="n">
        <x:v>0.462</x:v>
      </x:c>
    </x:row>
    <x:row r="9" ht="15" hidden="0" customHeight="1">
      <x:c r="A9" s="15" t="str">
        <x:v>replica_01</x:v>
      </x:c>
      <x:c r="B9" s="16" t="n">
        <x:v>7</x:v>
      </x:c>
      <x:c r="C9" s="17" t="n">
        <x:v>0.55</x:v>
      </x:c>
    </x:row>
    <x:row r="10" ht="15" hidden="0" customHeight="1">
      <x:c r="A10" s="15" t="str">
        <x:v>replica_01</x:v>
      </x:c>
      <x:c r="B10" s="16" t="n">
        <x:v>8</x:v>
      </x:c>
      <x:c r="C10" s="17" t="n">
        <x:v>0.552</x:v>
      </x:c>
    </x:row>
    <x:row r="11" ht="15" hidden="0" customHeight="1">
      <x:c r="A11" s="15" t="str">
        <x:v>replica_01</x:v>
      </x:c>
      <x:c r="B11" s="16" t="n">
        <x:v>9</x:v>
      </x:c>
      <x:c r="C11" s="17" t="n">
        <x:v>0.618</x:v>
      </x:c>
    </x:row>
    <x:row r="12" ht="15" hidden="0" customHeight="1">
      <x:c r="A12" s="15" t="str">
        <x:v>replica_01</x:v>
      </x:c>
      <x:c r="B12" s="16" t="n">
        <x:v>10</x:v>
      </x:c>
      <x:c r="C12" s="17" t="n">
        <x:v>0.568</x:v>
      </x:c>
    </x:row>
    <x:row r="13" ht="15" hidden="0" customHeight="1">
      <x:c r="A13" s="15" t="str">
        <x:v>replica_02</x:v>
      </x:c>
      <x:c r="B13" s="16" t="n">
        <x:v>1</x:v>
      </x:c>
      <x:c r="C13" s="17" t="n">
        <x:v>0.37</x:v>
      </x:c>
    </x:row>
    <x:row r="14" ht="15" hidden="0" customHeight="1">
      <x:c r="A14" s="15" t="str">
        <x:v>replica_02</x:v>
      </x:c>
      <x:c r="B14" s="16" t="n">
        <x:v>2</x:v>
      </x:c>
      <x:c r="C14" s="17" t="n">
        <x:v>0.376</x:v>
      </x:c>
    </x:row>
    <x:row r="15" ht="15" hidden="0" customHeight="1">
      <x:c r="A15" s="15" t="str">
        <x:v>replica_02</x:v>
      </x:c>
      <x:c r="B15" s="16" t="n">
        <x:v>3</x:v>
      </x:c>
      <x:c r="C15" s="17" t="n">
        <x:v>0.65</x:v>
      </x:c>
    </x:row>
    <x:row r="16" ht="15" hidden="0" customHeight="1">
      <x:c r="A16" s="15" t="str">
        <x:v>replica_02</x:v>
      </x:c>
      <x:c r="B16" s="16" t="n">
        <x:v>4</x:v>
      </x:c>
      <x:c r="C16" s="17" t="n">
        <x:v>0.566</x:v>
      </x:c>
    </x:row>
    <x:row r="17" ht="15" hidden="0" customHeight="1">
      <x:c r="A17" s="18" t="str">
        <x:v>replica_02</x:v>
      </x:c>
      <x:c r="B17" s="19" t="n">
        <x:v>5</x:v>
      </x:c>
      <x:c r="C17" s="20" t="n">
        <x:v>0.632</x:v>
      </x:c>
    </x:row>
    <x:row r="18" ht="19" customHeight="1">
      <x:c r="A18" s="45" t="str">
        <x:v>replica_02</x:v>
      </x:c>
      <x:c r="B18" s="45" t="n">
        <x:v>6</x:v>
      </x:c>
      <x:c r="C18" s="45" t="n">
        <x:v>0.428</x:v>
      </x:c>
    </x:row>
    <x:row r="19" ht="19" customHeight="1">
      <x:c r="A19" s="45" t="str">
        <x:v>replica_02</x:v>
      </x:c>
      <x:c r="B19" s="45" t="n">
        <x:v>7</x:v>
      </x:c>
      <x:c r="C19" s="45" t="n">
        <x:v>0.496</x:v>
      </x:c>
    </x:row>
    <x:row r="20" ht="19" customHeight="1">
      <x:c r="A20" s="45" t="str">
        <x:v>replica_02</x:v>
      </x:c>
      <x:c r="B20" s="45" t="n">
        <x:v>8</x:v>
      </x:c>
      <x:c r="C20" s="45" t="n">
        <x:v>0.364</x:v>
      </x:c>
    </x:row>
    <x:row r="21" ht="19" customHeight="1">
      <x:c r="A21" s="45" t="str">
        <x:v>replica_02</x:v>
      </x:c>
      <x:c r="B21" s="45" t="n">
        <x:v>9</x:v>
      </x:c>
      <x:c r="C21" s="45" t="n">
        <x:v>0.654</x:v>
      </x:c>
    </x:row>
    <x:row r="22" ht="19" customHeight="1">
      <x:c r="A22" s="45" t="str">
        <x:v>replica_02</x:v>
      </x:c>
      <x:c r="B22" s="45" t="n">
        <x:v>10</x:v>
      </x:c>
      <x:c r="C22" s="45" t="n">
        <x:v>0.628</x:v>
      </x:c>
    </x:row>
    <x:row r="23" ht="19" customHeight="1">
      <x:c r="A23" s="45" t="str">
        <x:v>replica_03</x:v>
      </x:c>
      <x:c r="B23" s="45" t="n">
        <x:v>1</x:v>
      </x:c>
      <x:c r="C23" s="45" t="n">
        <x:v>0.504</x:v>
      </x:c>
    </x:row>
    <x:row r="24" ht="19" customHeight="1">
      <x:c r="A24" s="45" t="str">
        <x:v>replica_03</x:v>
      </x:c>
      <x:c r="B24" s="45" t="n">
        <x:v>2</x:v>
      </x:c>
      <x:c r="C24" s="45" t="n">
        <x:v>0.388</x:v>
      </x:c>
    </x:row>
    <x:row r="25" ht="19" customHeight="1">
      <x:c r="A25" s="45" t="str">
        <x:v>replica_03</x:v>
      </x:c>
      <x:c r="B25" s="45" t="n">
        <x:v>3</x:v>
      </x:c>
      <x:c r="C25" s="45" t="n">
        <x:v>0.286</x:v>
      </x:c>
    </x:row>
    <x:row r="26" ht="19" customHeight="1">
      <x:c r="A26" s="45" t="str">
        <x:v>replica_03</x:v>
      </x:c>
      <x:c r="B26" s="45" t="n">
        <x:v>4</x:v>
      </x:c>
      <x:c r="C26" s="45" t="n">
        <x:v>0.566</x:v>
      </x:c>
    </x:row>
    <x:row r="27" ht="19" customHeight="1">
      <x:c r="A27" s="45" t="str">
        <x:v>replica_03</x:v>
      </x:c>
      <x:c r="B27" s="45" t="n">
        <x:v>5</x:v>
      </x:c>
      <x:c r="C27" s="45" t="n">
        <x:v>0.778</x:v>
      </x:c>
    </x:row>
    <x:row r="28" ht="19" customHeight="1">
      <x:c r="A28" s="45" t="str">
        <x:v>replica_03</x:v>
      </x:c>
      <x:c r="B28" s="45" t="n">
        <x:v>6</x:v>
      </x:c>
      <x:c r="C28" s="45" t="n">
        <x:v>0.418</x:v>
      </x:c>
    </x:row>
    <x:row r="29" ht="19" customHeight="1">
      <x:c r="A29" s="45" t="str">
        <x:v>replica_03</x:v>
      </x:c>
      <x:c r="B29" s="45" t="n">
        <x:v>7</x:v>
      </x:c>
      <x:c r="C29" s="45" t="n">
        <x:v>0.766</x:v>
      </x:c>
    </x:row>
    <x:row r="30" ht="19" customHeight="1">
      <x:c r="A30" s="45" t="str">
        <x:v>replica_03</x:v>
      </x:c>
      <x:c r="B30" s="45" t="n">
        <x:v>8</x:v>
      </x:c>
      <x:c r="C30" s="45" t="n">
        <x:v>0.684</x:v>
      </x:c>
    </x:row>
    <x:row r="31" ht="19" customHeight="1">
      <x:c r="A31" s="45" t="str">
        <x:v>replica_03</x:v>
      </x:c>
      <x:c r="B31" s="45" t="n">
        <x:v>9</x:v>
      </x:c>
      <x:c r="C31" s="45" t="n">
        <x:v>0.626</x:v>
      </x:c>
    </x:row>
    <x:row r="32" ht="19" customHeight="1">
      <x:c r="A32" s="45" t="str">
        <x:v>replica_03</x:v>
      </x:c>
      <x:c r="B32" s="45" t="n">
        <x:v>10</x:v>
      </x:c>
      <x:c r="C32" s="45" t="n">
        <x:v>0.778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21" hidden="0" customWidth="1"/>
    <x:col min="4" max="4" width="21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76" hidden="0" customWidth="1"/>
  </x:cols>
  <x:sheetData>
    <x:row r="1" ht="28" customHeight="1">
      <x:c r="A1" s="50" t="str">
        <x:v>Table S11. r²SCAN-3c aqueous conformer sensitivity (one species substituted at a time)</x:v>
      </x:c>
      <x:c r="B1" s="50"/>
      <x:c r="C1" s="50"/>
      <x:c r="D1" s="50"/>
      <x:c r="E1" s="50"/>
      <x:c r="F1" s="50"/>
      <x:c r="G1" s="50"/>
      <x:c r="H1" s="50"/>
      <x:c r="I1" s="50"/>
    </x:row>
    <x:row r="2" ht="38" customHeight="1">
      <x:c r="A2" s="51" t="str">
        <x:v>Species</x:v>
      </x:c>
      <x:c r="B2" s="51" t="str">
        <x:v>Candidate</x:v>
      </x:c>
      <x:c r="C2" s="51" t="str">
        <x:v>Electronic energy (Eh)</x:v>
      </x:c>
      <x:c r="D2" s="51" t="str">
        <x:v>Gibbs free energy (Eh)</x:v>
      </x:c>
      <x:c r="E2" s="51" t="str">
        <x:v>ΔE vs original (kcal/mol)</x:v>
      </x:c>
      <x:c r="F2" s="51" t="str">
        <x:v>ΔG vs original (kcal/mol)</x:v>
      </x:c>
      <x:c r="G2" s="51" t="str">
        <x:v>Exchange ΔE, single substitution (kcal/mol)</x:v>
      </x:c>
      <x:c r="H2" s="51" t="str">
        <x:v>Exchange ΔG, single substitution (kcal/mol)</x:v>
      </x:c>
      <x:c r="I2" s="51" t="str">
        <x:v>Source ORCA frequency output</x:v>
      </x:c>
    </x:row>
    <x:row r="3" ht="20" customHeight="1">
      <x:c r="A3" s="52" t="str">
        <x:v>DVB-BTMA⁺·PFOA⁻</x:v>
      </x:c>
      <x:c r="B3" s="52" t="str">
        <x:v>Original</x:v>
      </x:c>
      <x:c r="C3" s="53" t="n">
        <x:v>-2865.069247636996</x:v>
      </x:c>
      <x:c r="D3" s="53" t="n">
        <x:v>-2864.55518605</x:v>
      </x:c>
      <x:c r="E3" s="54" t="n">
        <x:v>0</x:v>
      </x:c>
      <x:c r="F3" s="54" t="n">
        <x:v>0</x:v>
      </x:c>
      <x:c r="G3" s="54" t="n">
        <x:v>-9.316026130903152</x:v>
      </x:c>
      <x:c r="H3" s="54" t="n">
        <x:v>0.41029079436312893</x:v>
      </x:c>
      <x:c r="I3" s="52" t="str">
        <x:v>project_sources/04-01_Calculations.zip :: 01_Calculations/02_Extended_Monomer/water/02_Frequency/r2scan-3c/1_R4N+X-_freqGMr2/R4N+PFOA-_freqGMr2/R4N+PFOA-_freqGMr2.out</x:v>
      </x:c>
    </x:row>
    <x:row r="4" ht="20" customHeight="1">
      <x:c r="A4" s="52" t="str">
        <x:v>DVB-BTMA⁺·PFOA⁻</x:v>
      </x:c>
      <x:c r="B4" s="52" t="str">
        <x:v>altA</x:v>
      </x:c>
      <x:c r="C4" s="53" t="n">
        <x:v>-2865.069248656925</x:v>
      </x:c>
      <x:c r="D4" s="53" t="n">
        <x:v>-2864.55518001</x:v>
      </x:c>
      <x:c r="E4" s="54" t="n">
        <x:v>-0.0006400152273008425</x:v>
      </x:c>
      <x:c r="F4" s="54" t="n">
        <x:v>0.003790157090686716</x:v>
      </x:c>
      <x:c r="G4" s="54" t="n">
        <x:v>-9.316666146130453</x:v>
      </x:c>
      <x:c r="H4" s="54" t="n">
        <x:v>0.4140809514538156</x:v>
      </x:c>
      <x:c r="I4" s="52" t="str">
        <x:v>project_sources/06-GOATsens_all_runs_20260926.zip :: 00-3-GOATsens/02_Frequency/r2scan-3c/1_R4N+X-_freqGMr2/R4N+PFOA-_altA_freqGMr2/R4N+PFOA-_altA_freqGMr2.out</x:v>
      </x:c>
    </x:row>
    <x:row r="5" ht="20" customHeight="1">
      <x:c r="A5" s="52" t="str">
        <x:v>DVB-BTMA⁺·PFOA⁻</x:v>
      </x:c>
      <x:c r="B5" s="52" t="str">
        <x:v>altB</x:v>
      </x:c>
      <x:c r="C5" s="53" t="n">
        <x:v>-2865.069245794702</x:v>
      </x:c>
      <x:c r="D5" s="53" t="n">
        <x:v>-2864.5547727</x:v>
      </x:c>
      <x:c r="E5" s="54" t="n">
        <x:v>0.001156056839142401</x:v>
      </x:c>
      <x:c r="F5" s="54" t="n">
        <x:v>0.2593810411685243</x:v>
      </x:c>
      <x:c r="G5" s="54" t="n">
        <x:v>-9.31487007406401</x:v>
      </x:c>
      <x:c r="H5" s="54" t="n">
        <x:v>0.6696718358170115</x:v>
      </x:c>
      <x:c r="I5" s="52" t="str">
        <x:v>project_sources/06-GOATsens_all_runs_20260926.zip :: 00-3-GOATsens/02_Frequency/r2scan-3c/1_R4N+X-_freqGMr2/R4N+PFOA-_altB_freqGMr2/R4N+PFOA-_altB_freqGMr2.out</x:v>
      </x:c>
    </x:row>
    <x:row r="6" ht="20" customHeight="1">
      <x:c r="A6" s="52" t="str">
        <x:v>DVB-BTMA⁺·Cl⁻</x:v>
      </x:c>
      <x:c r="B6" s="52" t="str">
        <x:v>Original</x:v>
      </x:c>
      <x:c r="C6" s="53" t="n">
        <x:v>-1372.331833815702</x:v>
      </x:c>
      <x:c r="D6" s="53" t="n">
        <x:v>-1371.89396724</x:v>
      </x:c>
      <x:c r="E6" s="54" t="n">
        <x:v>0</x:v>
      </x:c>
      <x:c r="F6" s="54" t="n">
        <x:v>0</x:v>
      </x:c>
      <x:c r="G6" s="54" t="n">
        <x:v>-9.316026130903152</x:v>
      </x:c>
      <x:c r="H6" s="54" t="n">
        <x:v>0.41029079436312893</x:v>
      </x:c>
      <x:c r="I6" s="52" t="str">
        <x:v>project_sources/04-01_Calculations.zip :: 01_Calculations/02_Extended_Monomer/water/02_Frequency/r2scan-3c/2_R4N+Cl-_freqGMr2/R4N+Cl-_freqGMr2.out</x:v>
      </x:c>
    </x:row>
    <x:row r="7" ht="20" customHeight="1">
      <x:c r="A7" s="52" t="str">
        <x:v>DVB-BTMA⁺·Cl⁻</x:v>
      </x:c>
      <x:c r="B7" s="52" t="str">
        <x:v>altA</x:v>
      </x:c>
      <x:c r="C7" s="53" t="n">
        <x:v>-1372.331796155118</x:v>
      </x:c>
      <x:c r="D7" s="53" t="n">
        <x:v>-1371.89459353</x:v>
      </x:c>
      <x:c r="E7" s="54" t="n">
        <x:v>0.023632373389444062</x:v>
      </x:c>
      <x:c r="F7" s="54" t="n">
        <x:v>-0.3930029085514567</x:v>
      </x:c>
      <x:c r="G7" s="54" t="n">
        <x:v>-9.339658504292595</x:v>
      </x:c>
      <x:c r="H7" s="54" t="n">
        <x:v>0.8032937029145857</x:v>
      </x:c>
      <x:c r="I7" s="52" t="str">
        <x:v>project_sources/06-GOATsens_all_runs_20260926.zip :: 00-3-GOATsens/02_Frequency/r2scan-3c/2_R4N+Cl-_freqGMr2/R4N+Cl-_altA_freqGMr2/R4N+Cl-_altA_freqGMr2.out</x:v>
      </x:c>
    </x:row>
    <x:row r="8" ht="20" customHeight="1">
      <x:c r="A8" s="52" t="str">
        <x:v>DVB-BTMA⁺·Cl⁻</x:v>
      </x:c>
      <x:c r="B8" s="52" t="str">
        <x:v>altB</x:v>
      </x:c>
      <x:c r="C8" s="53" t="n">
        <x:v>-1372.332017248967</x:v>
      </x:c>
      <x:c r="D8" s="53" t="n">
        <x:v>-1371.89434492</x:v>
      </x:c>
      <x:c r="E8" s="54" t="n">
        <x:v>-0.11510611161232774</x:v>
      </x:c>
      <x:c r="F8" s="54" t="n">
        <x:v>-0.2369977782382323</x:v>
      </x:c>
      <x:c r="G8" s="54" t="n">
        <x:v>-9.200920019290825</x:v>
      </x:c>
      <x:c r="H8" s="54" t="n">
        <x:v>0.6472885726013612</x:v>
      </x:c>
      <x:c r="I8" s="52" t="str">
        <x:v>project_sources/06-GOATsens_all_runs_20260926.zip :: 00-3-GOATsens/02_Frequency/r2scan-3c/2_R4N+Cl-_freqGMr2/R4N+Cl-_altB_freqGMr2/R4N+Cl-_altB_freqGMr2.out</x:v>
      </x:c>
    </x:row>
    <x:row r="9" ht="20" customHeight="1">
      <x:c r="A9" s="52" t="str">
        <x:v>PFOA⁻</x:v>
      </x:c>
      <x:c r="B9" s="52" t="str">
        <x:v>Original</x:v>
      </x:c>
      <x:c r="C9" s="53" t="n">
        <x:v>-1953.067972855685</x:v>
      </x:c>
      <x:c r="D9" s="53" t="n">
        <x:v>-1953.02302217</x:v>
      </x:c>
      <x:c r="E9" s="54" t="n">
        <x:v>0</x:v>
      </x:c>
      <x:c r="F9" s="54" t="n">
        <x:v>0</x:v>
      </x:c>
      <x:c r="G9" s="54" t="n">
        <x:v>-9.316026130903152</x:v>
      </x:c>
      <x:c r="H9" s="54" t="n">
        <x:v>0.41029079436312893</x:v>
      </x:c>
      <x:c r="I9" s="52" t="str">
        <x:v>project_sources/04-01_Calculations.zip :: 01_Calculations/02_Extended_Monomer/water/02_Frequency/r2scan-3c/3_X-_freqGMr2/PFOA_freqGMr2/PFOA_freqGMr2.out</x:v>
      </x:c>
    </x:row>
    <x:row r="10" ht="20" customHeight="1">
      <x:c r="A10" s="52" t="str">
        <x:v>PFOA⁻</x:v>
      </x:c>
      <x:c r="B10" s="52" t="str">
        <x:v>altA</x:v>
      </x:c>
      <x:c r="C10" s="53" t="n">
        <x:v>-1953.065660720415</x:v>
      </x:c>
      <x:c r="D10" s="53" t="n">
        <x:v>-1953.01964254</x:v>
      </x:c>
      <x:c r="E10" s="54" t="n">
        <x:v>1.4508867870340512</x:v>
      </x:c>
      <x:c r="F10" s="54" t="n">
        <x:v>2.1207498437112977</x:v>
      </x:c>
      <x:c r="G10" s="54" t="n">
        <x:v>-10.766912917937203</x:v>
      </x:c>
      <x:c r="H10" s="54" t="n">
        <x:v>-1.7104590493481686</x:v>
      </x:c>
      <x:c r="I10" s="52" t="str">
        <x:v>project_sources/06-GOATsens_all_runs_20260926.zip :: 00-3-GOATsens/02_Frequency/r2scan-3c/3_X-_freqGMr2/PFOA_altA_freqGMr2/PFOA_altA_freqGMr2.out</x:v>
      </x:c>
    </x:row>
    <x:row r="11" ht="20" customHeight="1">
      <x:c r="A11" s="52" t="str">
        <x:v>PFOA⁻</x:v>
      </x:c>
      <x:c r="B11" s="52" t="str">
        <x:v>altB</x:v>
      </x:c>
      <x:c r="C11" s="53" t="n">
        <x:v>-1953.066809841845</x:v>
      </x:c>
      <x:c r="D11" s="53" t="n">
        <x:v>-1953.02186174</x:v>
      </x:c>
      <x:c r="E11" s="54" t="n">
        <x:v>0.7298022029392351</x:v>
      </x:c>
      <x:c r="F11" s="54" t="n">
        <x:v>0.7281808189308823</x:v>
      </x:c>
      <x:c r="G11" s="54" t="n">
        <x:v>-10.045828333842387</x:v>
      </x:c>
      <x:c r="H11" s="54" t="n">
        <x:v>-0.31789002456775334</x:v>
      </x:c>
      <x:c r="I11" s="52" t="str">
        <x:v>project_sources/06-GOATsens_all_runs_20260926.zip :: 00-3-GOATsens/02_Frequency/r2scan-3c/3_X-_freqGMr2/PFOA_altB_freqGMr2/PFOA_altB_freqGMr2.out</x:v>
      </x:c>
    </x:row>
    <x:row r="14">
      <x:c r="A14" t="str">
        <x:v>Table S11b. Conformer search provenance and geometry comparison</x:v>
      </x:c>
    </x:row>
    <x:row r="15" ht="42" customHeight="1">
      <x:c r="A15" s="48" t="str">
        <x:v>Species</x:v>
      </x:c>
      <x:c r="B15" s="48" t="str">
        <x:v>Candidate</x:v>
      </x:c>
      <x:c r="C15" s="48" t="str">
        <x:v>GOAT index</x:v>
      </x:c>
      <x:c r="D15" s="48" t="str">
        <x:v>Search ΔE
(kcal/mol)</x:v>
      </x:c>
      <x:c r="E15" s="48" t="str">
        <x:v>Starting RMSD
(Å)</x:v>
      </x:c>
      <x:c r="F15" s="48" t="str">
        <x:v>Refined RMSD
(Å)</x:v>
      </x:c>
    </x:row>
    <x:row r="16">
      <x:c r="A16" t="str">
        <x:v>DVB-BTMA+PFOA−</x:v>
      </x:c>
      <x:c r="B16" t="str">
        <x:v>Original</x:v>
      </x:c>
      <x:c r="C16" s="57" t="n">
        <x:v>0</x:v>
      </x:c>
      <x:c r="D16" s="58" t="n">
        <x:v>0</x:v>
      </x:c>
      <x:c r="E16" s="58" t="n">
        <x:v>0</x:v>
      </x:c>
      <x:c r="F16" s="58" t="n">
        <x:v>0</x:v>
      </x:c>
    </x:row>
    <x:row r="17">
      <x:c r="A17" t="str">
        <x:v>DVB-BTMA+PFOA−</x:v>
      </x:c>
      <x:c r="B17" t="str">
        <x:v>altA</x:v>
      </x:c>
      <x:c r="C17" s="57" t="n">
        <x:v>1</x:v>
      </x:c>
      <x:c r="D17" s="58" t="n">
        <x:v>0.0211</x:v>
      </x:c>
      <x:c r="E17" s="58" t="n">
        <x:v>0.1465</x:v>
      </x:c>
      <x:c r="F17" s="58" t="n">
        <x:v>0.0069</x:v>
      </x:c>
    </x:row>
    <x:row r="18">
      <x:c r="A18" t="str">
        <x:v>DVB-BTMA+PFOA−</x:v>
      </x:c>
      <x:c r="B18" t="str">
        <x:v>altB</x:v>
      </x:c>
      <x:c r="C18" s="57" t="n">
        <x:v>3</x:v>
      </x:c>
      <x:c r="D18" s="58" t="n">
        <x:v>0.2153</x:v>
      </x:c>
      <x:c r="E18" s="58" t="n">
        <x:v>0.4051</x:v>
      </x:c>
      <x:c r="F18" s="58" t="n">
        <x:v>0.054</x:v>
      </x:c>
    </x:row>
    <x:row r="19">
      <x:c r="A19" t="str">
        <x:v>DVB-BTMA+Cl−</x:v>
      </x:c>
      <x:c r="B19" t="str">
        <x:v>Original</x:v>
      </x:c>
      <x:c r="C19" s="57" t="n">
        <x:v>0</x:v>
      </x:c>
      <x:c r="D19" s="58" t="n">
        <x:v>0</x:v>
      </x:c>
      <x:c r="E19" s="58" t="n">
        <x:v>0</x:v>
      </x:c>
      <x:c r="F19" s="58" t="n">
        <x:v>0</x:v>
      </x:c>
    </x:row>
    <x:row r="20">
      <x:c r="A20" t="str">
        <x:v>DVB-BTMA+Cl−</x:v>
      </x:c>
      <x:c r="B20" t="str">
        <x:v>altA</x:v>
      </x:c>
      <x:c r="C20" s="57" t="n">
        <x:v>2</x:v>
      </x:c>
      <x:c r="D20" s="58" t="n">
        <x:v>0.0902</x:v>
      </x:c>
      <x:c r="E20" s="58" t="n">
        <x:v>1.1987</x:v>
      </x:c>
      <x:c r="F20" s="58" t="n">
        <x:v>1.2465</x:v>
      </x:c>
    </x:row>
    <x:row r="21">
      <x:c r="A21" t="str">
        <x:v>DVB-BTMA+Cl−</x:v>
      </x:c>
      <x:c r="B21" t="str">
        <x:v>altB</x:v>
      </x:c>
      <x:c r="C21" s="57" t="n">
        <x:v>3</x:v>
      </x:c>
      <x:c r="D21" s="58" t="n">
        <x:v>0.2039</x:v>
      </x:c>
      <x:c r="E21" s="58" t="n">
        <x:v>1.1365</x:v>
      </x:c>
      <x:c r="F21" s="58" t="n">
        <x:v>1.2179</x:v>
      </x:c>
    </x:row>
    <x:row r="22">
      <x:c r="A22" t="str">
        <x:v>PFOA−</x:v>
      </x:c>
      <x:c r="B22" t="str">
        <x:v>Original</x:v>
      </x:c>
      <x:c r="C22" s="57" t="n">
        <x:v>0</x:v>
      </x:c>
      <x:c r="D22" s="58" t="n">
        <x:v>0</x:v>
      </x:c>
      <x:c r="E22" s="58" t="n">
        <x:v>0</x:v>
      </x:c>
      <x:c r="F22" s="58" t="n">
        <x:v>0</x:v>
      </x:c>
    </x:row>
    <x:row r="23">
      <x:c r="A23" t="str">
        <x:v>PFOA−</x:v>
      </x:c>
      <x:c r="B23" t="str">
        <x:v>altA</x:v>
      </x:c>
      <x:c r="C23" s="57" t="n">
        <x:v>1</x:v>
      </x:c>
      <x:c r="D23" s="58" t="n">
        <x:v>0.1329</x:v>
      </x:c>
      <x:c r="E23" s="58" t="n">
        <x:v>1.6125</x:v>
      </x:c>
      <x:c r="F23" s="58" t="n">
        <x:v>1.6778</x:v>
      </x:c>
    </x:row>
    <x:row r="24">
      <x:c r="A24" t="str">
        <x:v>PFOA−</x:v>
      </x:c>
      <x:c r="B24" t="str">
        <x:v>altB</x:v>
      </x:c>
      <x:c r="C24" s="57" t="n">
        <x:v>2</x:v>
      </x:c>
      <x:c r="D24" s="58" t="n">
        <x:v>0.376</x:v>
      </x:c>
      <x:c r="E24" s="58" t="n">
        <x:v>1.7103</x:v>
      </x:c>
      <x:c r="F24" s="58" t="n">
        <x:v>1.8885</x:v>
      </x:c>
    </x:row>
    <x:row r="26">
      <x:c r="A26" t="str">
        <x:v>Zero-based GOAT indices. RMSD is symmetry-aware heavy-atom RMSD relative to the original candidate.</x:v>
      </x:c>
    </x:row>
    <x:row r="27">
      <x:c r="A27" t="str">
        <x:v>Quasi-RRHO reference: 100 cm⁻¹. Separate frequency cutoff: 1 cm⁻¹.</x:v>
      </x:c>
    </x:row>
  </x:sheetData>
  <x:pageMargins left="0.7" right="0.7" top="0.75" bottom="0.75" header="0.3" footer="0.3"/>
</x:worksheet>
</file>